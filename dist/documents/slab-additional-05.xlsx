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0808b9a91f342cb4/Desktop/Portfolio/1 Way Slab design/"/>
    </mc:Choice>
  </mc:AlternateContent>
  <xr:revisionPtr revIDLastSave="13" documentId="13_ncr:1_{41949EDA-C089-4030-9E65-68F7D691873B}" xr6:coauthVersionLast="47" xr6:coauthVersionMax="47" xr10:uidLastSave="{CC25214C-F3B5-413B-A52A-334A3DC94266}"/>
  <bookViews>
    <workbookView xWindow="-108" yWindow="-108" windowWidth="23256" windowHeight="12456" xr2:uid="{00000000-000D-0000-FFFF-FFFF00000000}"/>
  </bookViews>
  <sheets>
    <sheet name="Bill of Quant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1" l="1"/>
  <c r="F26" i="1"/>
  <c r="F25" i="1"/>
  <c r="F24" i="1"/>
  <c r="F19" i="1"/>
  <c r="F20" i="1"/>
  <c r="F21" i="1"/>
  <c r="F18" i="1"/>
  <c r="F15" i="1"/>
  <c r="F11" i="1"/>
  <c r="F12" i="1"/>
  <c r="F13" i="1"/>
  <c r="F14" i="1"/>
  <c r="F10" i="1"/>
  <c r="F7" i="1"/>
  <c r="F4" i="1"/>
  <c r="F5" i="1"/>
  <c r="F6" i="1"/>
  <c r="F3" i="1"/>
  <c r="F22" i="1"/>
</calcChain>
</file>

<file path=xl/sharedStrings.xml><?xml version="1.0" encoding="utf-8"?>
<sst xmlns="http://schemas.openxmlformats.org/spreadsheetml/2006/main" count="42" uniqueCount="29">
  <si>
    <t>Item</t>
  </si>
  <si>
    <t>Description</t>
  </si>
  <si>
    <t>Unit</t>
  </si>
  <si>
    <t>Quantity</t>
  </si>
  <si>
    <t>Rate (ZAR)</t>
  </si>
  <si>
    <t>Amount (ZAR)</t>
  </si>
  <si>
    <t>Earthworks &amp; Foundations Substructure</t>
  </si>
  <si>
    <t>Site clearance and topsoil stripping</t>
  </si>
  <si>
    <t>m2</t>
  </si>
  <si>
    <t>Bulk excavation for 4 pad footings</t>
  </si>
  <si>
    <t>m3</t>
  </si>
  <si>
    <t>Trench excavation for ground tie beams</t>
  </si>
  <si>
    <t>Backfill and compact selected excavated material</t>
  </si>
  <si>
    <t>Structural Concrete (30 MPa)</t>
  </si>
  <si>
    <t>Pad Footings (4 Units)</t>
  </si>
  <si>
    <t>Columns (4 Columns)</t>
  </si>
  <si>
    <t>Ground Tie Beams / Framing</t>
  </si>
  <si>
    <t>1-Way Ground Floor Slab (150 mm thickness)</t>
  </si>
  <si>
    <t>Blinding layer (50 mm unreinforced)</t>
  </si>
  <si>
    <t>Formwork &amp; Reinforcement Sundries</t>
  </si>
  <si>
    <t>Formwork to sides of pad footings</t>
  </si>
  <si>
    <t>Formwork to rectangular columns (4 sides)</t>
  </si>
  <si>
    <t>Formwork to edge of 1-way slab</t>
  </si>
  <si>
    <t>High-yield reinforcing steel bars (Y10 to Y25)</t>
  </si>
  <si>
    <t>t</t>
  </si>
  <si>
    <t>SUBTOTAL</t>
  </si>
  <si>
    <t>CONTINGENCY (10%)</t>
  </si>
  <si>
    <t>VAT (15%)</t>
  </si>
  <si>
    <t>TOTAL PROJECT COST (ZAR)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</si>
</sst>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.00_-;\-[$R-1C09]* #,##0.00_-;_-[$R-1C09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H26" sqref="H26"/>
    </sheetView>
  </sheetViews>
  <sheetFormatPr defaultRowHeight="14.4" x14ac:dyDescent="0.3"/>
  <cols>
    <col min="1" max="1" width="18.6640625" customWidth="1"/>
    <col min="2" max="2" width="40.44140625" customWidth="1"/>
    <col min="3" max="3" width="16.109375" customWidth="1"/>
    <col min="5" max="5" width="12.109375" customWidth="1"/>
    <col min="6" max="6" width="12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E2" s="2"/>
      <c r="F2" s="2"/>
    </row>
    <row r="3" spans="1:6" x14ac:dyDescent="0.3">
      <c r="A3">
        <v>1.01</v>
      </c>
      <c r="B3" t="s">
        <v>7</v>
      </c>
      <c r="C3" t="s">
        <v>8</v>
      </c>
      <c r="D3">
        <v>400</v>
      </c>
      <c r="E3" s="2">
        <v>25</v>
      </c>
      <c r="F3" s="2">
        <f>E3*D3</f>
        <v>10000</v>
      </c>
    </row>
    <row r="4" spans="1:6" x14ac:dyDescent="0.3">
      <c r="A4">
        <v>1.02</v>
      </c>
      <c r="B4" t="s">
        <v>9</v>
      </c>
      <c r="C4" t="s">
        <v>10</v>
      </c>
      <c r="D4">
        <v>15</v>
      </c>
      <c r="E4" s="2">
        <v>130</v>
      </c>
      <c r="F4" s="2">
        <f t="shared" ref="F4:F6" si="0">E4*D4</f>
        <v>1950</v>
      </c>
    </row>
    <row r="5" spans="1:6" x14ac:dyDescent="0.3">
      <c r="A5">
        <v>1.03</v>
      </c>
      <c r="B5" t="s">
        <v>11</v>
      </c>
      <c r="C5" t="s">
        <v>10</v>
      </c>
      <c r="D5">
        <v>10</v>
      </c>
      <c r="E5" s="2">
        <v>140</v>
      </c>
      <c r="F5" s="2">
        <f t="shared" si="0"/>
        <v>1400</v>
      </c>
    </row>
    <row r="6" spans="1:6" x14ac:dyDescent="0.3">
      <c r="A6">
        <v>1.04</v>
      </c>
      <c r="B6" t="s">
        <v>12</v>
      </c>
      <c r="C6" t="s">
        <v>10</v>
      </c>
      <c r="D6">
        <v>18</v>
      </c>
      <c r="E6" s="2">
        <v>95</v>
      </c>
      <c r="F6" s="2">
        <f t="shared" si="0"/>
        <v>1710</v>
      </c>
    </row>
    <row r="7" spans="1:6" x14ac:dyDescent="0.3">
      <c r="A7" s="3" t="s">
        <v>25</v>
      </c>
      <c r="B7" s="3"/>
      <c r="C7" s="3"/>
      <c r="D7" s="3"/>
      <c r="E7" s="4"/>
      <c r="F7" s="4">
        <f>SUM(F3:F6)</f>
        <v>15060</v>
      </c>
    </row>
    <row r="8" spans="1:6" x14ac:dyDescent="0.3">
      <c r="E8" s="2"/>
      <c r="F8" s="2"/>
    </row>
    <row r="9" spans="1:6" x14ac:dyDescent="0.3">
      <c r="A9">
        <v>2</v>
      </c>
      <c r="B9" t="s">
        <v>13</v>
      </c>
      <c r="E9" s="2"/>
      <c r="F9" s="2"/>
    </row>
    <row r="10" spans="1:6" x14ac:dyDescent="0.3">
      <c r="A10">
        <v>2.0099999999999998</v>
      </c>
      <c r="B10" t="s">
        <v>14</v>
      </c>
      <c r="C10" t="s">
        <v>10</v>
      </c>
      <c r="D10">
        <v>3.88</v>
      </c>
      <c r="E10" s="2">
        <v>2800</v>
      </c>
      <c r="F10" s="2">
        <f>E10*D10</f>
        <v>10864</v>
      </c>
    </row>
    <row r="11" spans="1:6" x14ac:dyDescent="0.3">
      <c r="A11">
        <v>2.02</v>
      </c>
      <c r="B11" t="s">
        <v>15</v>
      </c>
      <c r="C11" t="s">
        <v>10</v>
      </c>
      <c r="D11">
        <v>4.32</v>
      </c>
      <c r="E11" s="2">
        <v>3200</v>
      </c>
      <c r="F11" s="2">
        <f t="shared" ref="F11:F14" si="1">E11*D11</f>
        <v>13824</v>
      </c>
    </row>
    <row r="12" spans="1:6" x14ac:dyDescent="0.3">
      <c r="A12">
        <v>2.0299999999999998</v>
      </c>
      <c r="B12" t="s">
        <v>16</v>
      </c>
      <c r="C12" t="s">
        <v>10</v>
      </c>
      <c r="D12">
        <v>2.64</v>
      </c>
      <c r="E12" s="2">
        <v>3400</v>
      </c>
      <c r="F12" s="2">
        <f t="shared" si="1"/>
        <v>8976</v>
      </c>
    </row>
    <row r="13" spans="1:6" x14ac:dyDescent="0.3">
      <c r="A13">
        <v>2.04</v>
      </c>
      <c r="B13" t="s">
        <v>17</v>
      </c>
      <c r="C13" t="s">
        <v>10</v>
      </c>
      <c r="D13">
        <v>9.41</v>
      </c>
      <c r="E13" s="2">
        <v>2600</v>
      </c>
      <c r="F13" s="2">
        <f t="shared" si="1"/>
        <v>24466</v>
      </c>
    </row>
    <row r="14" spans="1:6" x14ac:dyDescent="0.3">
      <c r="A14">
        <v>2.0499999999999998</v>
      </c>
      <c r="B14" t="s">
        <v>18</v>
      </c>
      <c r="C14" t="s">
        <v>10</v>
      </c>
      <c r="D14">
        <v>1.2</v>
      </c>
      <c r="E14" s="2">
        <v>1600</v>
      </c>
      <c r="F14" s="2">
        <f t="shared" si="1"/>
        <v>1920</v>
      </c>
    </row>
    <row r="15" spans="1:6" x14ac:dyDescent="0.3">
      <c r="A15" s="3" t="s">
        <v>25</v>
      </c>
      <c r="B15" s="3"/>
      <c r="C15" s="3"/>
      <c r="D15" s="3"/>
      <c r="E15" s="4"/>
      <c r="F15" s="4">
        <f>SUM(F10:F14)</f>
        <v>60050</v>
      </c>
    </row>
    <row r="16" spans="1:6" x14ac:dyDescent="0.3">
      <c r="E16" s="2"/>
      <c r="F16" s="2"/>
    </row>
    <row r="17" spans="1:6" x14ac:dyDescent="0.3">
      <c r="A17">
        <v>3</v>
      </c>
      <c r="B17" t="s">
        <v>19</v>
      </c>
      <c r="E17" s="2"/>
      <c r="F17" s="2"/>
    </row>
    <row r="18" spans="1:6" x14ac:dyDescent="0.3">
      <c r="A18">
        <v>3.01</v>
      </c>
      <c r="B18" t="s">
        <v>20</v>
      </c>
      <c r="C18" t="s">
        <v>8</v>
      </c>
      <c r="D18">
        <v>14.4</v>
      </c>
      <c r="E18" s="2">
        <v>175</v>
      </c>
      <c r="F18" s="2">
        <f>E18*D18</f>
        <v>2520</v>
      </c>
    </row>
    <row r="19" spans="1:6" x14ac:dyDescent="0.3">
      <c r="A19">
        <v>3.02</v>
      </c>
      <c r="B19" t="s">
        <v>21</v>
      </c>
      <c r="C19" t="s">
        <v>8</v>
      </c>
      <c r="D19">
        <v>35</v>
      </c>
      <c r="E19" s="2">
        <v>220</v>
      </c>
      <c r="F19" s="2">
        <f t="shared" ref="F19:F21" si="2">E19*D19</f>
        <v>7700</v>
      </c>
    </row>
    <row r="20" spans="1:6" x14ac:dyDescent="0.3">
      <c r="A20">
        <v>3.03</v>
      </c>
      <c r="B20" t="s">
        <v>22</v>
      </c>
      <c r="C20" t="s">
        <v>8</v>
      </c>
      <c r="D20">
        <v>12</v>
      </c>
      <c r="E20" s="2">
        <v>150</v>
      </c>
      <c r="F20" s="2">
        <f t="shared" si="2"/>
        <v>1800</v>
      </c>
    </row>
    <row r="21" spans="1:6" x14ac:dyDescent="0.3">
      <c r="A21">
        <v>3.04</v>
      </c>
      <c r="B21" t="s">
        <v>23</v>
      </c>
      <c r="C21" t="s">
        <v>24</v>
      </c>
      <c r="D21">
        <v>1.85</v>
      </c>
      <c r="E21" s="2">
        <v>24500</v>
      </c>
      <c r="F21" s="2">
        <f t="shared" si="2"/>
        <v>45325</v>
      </c>
    </row>
    <row r="22" spans="1:6" x14ac:dyDescent="0.3">
      <c r="A22" s="3" t="s">
        <v>25</v>
      </c>
      <c r="B22" s="3"/>
      <c r="C22" s="3"/>
      <c r="D22" s="3"/>
      <c r="E22" s="4"/>
      <c r="F22" s="4">
        <f>SUM(F18:F21)</f>
        <v>57345</v>
      </c>
    </row>
    <row r="23" spans="1:6" x14ac:dyDescent="0.3">
      <c r="F23" s="2"/>
    </row>
    <row r="24" spans="1:6" x14ac:dyDescent="0.3">
      <c r="B24" t="s">
        <v>25</v>
      </c>
      <c r="F24" s="2">
        <f>F22+F15+F7</f>
        <v>132455</v>
      </c>
    </row>
    <row r="25" spans="1:6" x14ac:dyDescent="0.3">
      <c r="B25" t="s">
        <v>26</v>
      </c>
      <c r="F25" s="2">
        <f>0.1*F24</f>
        <v>13245.5</v>
      </c>
    </row>
    <row r="26" spans="1:6" x14ac:dyDescent="0.3">
      <c r="B26" t="s">
        <v>27</v>
      </c>
      <c r="F26" s="2">
        <f>0.15*F24</f>
        <v>19868.25</v>
      </c>
    </row>
    <row r="27" spans="1:6" x14ac:dyDescent="0.3">
      <c r="A27" s="3"/>
      <c r="B27" s="3" t="s">
        <v>28</v>
      </c>
      <c r="C27" s="3"/>
      <c r="D27" s="3"/>
      <c r="E27" s="3"/>
      <c r="F27" s="4">
        <f>SUM(F24:F26)</f>
        <v>165568.75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Quantities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Thando Mkhize</cp:lastModifiedBy>
  <dcterms:created xsi:type="dcterms:W3CDTF">2026-10-08T23:23:24Z</dcterms:created>
  <dcterms:modified xsi:type="dcterms:W3CDTF">2026-10-09T10:07:45Z</dcterms:modified>
</cp:coreProperties>
</file>