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iphuthando M Mkhize\OneDrive\Desktop\Portfolio\Truss Bridge\"/>
    </mc:Choice>
  </mc:AlternateContent>
  <xr:revisionPtr revIDLastSave="0" documentId="13_ncr:1_{EF4AAFC0-9EC3-472C-A6BC-EAA69F5CD4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tit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9" i="1" s="1"/>
  <c r="E31" i="1" s="1"/>
  <c r="F17" i="1"/>
  <c r="F18" i="1"/>
  <c r="F15" i="1"/>
  <c r="F4" i="1"/>
  <c r="F23" i="1"/>
  <c r="F24" i="1"/>
  <c r="F25" i="1"/>
  <c r="F22" i="1"/>
  <c r="F26" i="1" s="1"/>
  <c r="E32" i="1" s="1"/>
  <c r="F11" i="1"/>
  <c r="F12" i="1" s="1"/>
  <c r="E30" i="1" s="1"/>
  <c r="F10" i="1"/>
  <c r="F5" i="1"/>
  <c r="F6" i="1"/>
  <c r="F7" i="1" l="1"/>
  <c r="E29" i="1" s="1"/>
  <c r="E34" i="1" s="1"/>
  <c r="E35" i="1" l="1"/>
  <c r="E36" i="1" s="1"/>
</calcChain>
</file>

<file path=xl/sharedStrings.xml><?xml version="1.0" encoding="utf-8"?>
<sst xmlns="http://schemas.openxmlformats.org/spreadsheetml/2006/main" count="50" uniqueCount="38">
  <si>
    <t>Section</t>
  </si>
  <si>
    <t>Description</t>
  </si>
  <si>
    <t>Unit</t>
  </si>
  <si>
    <t>Qty</t>
  </si>
  <si>
    <t>Rate (ZAR)</t>
  </si>
  <si>
    <t>Amount (ZAR)</t>
  </si>
  <si>
    <t>PRELIMINARIES &amp; GENERAL</t>
  </si>
  <si>
    <t>Site establishment</t>
  </si>
  <si>
    <t>Contractual obligations</t>
  </si>
  <si>
    <t>Engineering supervision</t>
  </si>
  <si>
    <t>.</t>
  </si>
  <si>
    <t>EARTHWORKS &amp; ABUTMENT FOUNDATIONS</t>
  </si>
  <si>
    <t>Site clearance</t>
  </si>
  <si>
    <t>m3</t>
  </si>
  <si>
    <t>Backfilling</t>
  </si>
  <si>
    <t>PILING &amp; STRUCTURAL CONCRETE (BRIDGE ABUTMENTS &amp; DECK)</t>
  </si>
  <si>
    <t>High-yield steel reinforcement bars (Y16 - Y32) supplied &amp; fixed</t>
  </si>
  <si>
    <t>Ton</t>
  </si>
  <si>
    <t>50/20MPa Bridge Deck Reinforced Concrete Slab</t>
  </si>
  <si>
    <t>STRUCTURAL STEEL TRUSS SUPERSTRUCTURE</t>
  </si>
  <si>
    <t>Rectangular Hollow Sections (RHS 300x200x10) – Main Truss Chords</t>
  </si>
  <si>
    <t>Rectangular Hollow Sections (RHS 150x100x10) – Web Members</t>
  </si>
  <si>
    <t>Gusset plates</t>
  </si>
  <si>
    <t>Heavy-duty anti-corrosive primer and polyurethane bridge coating</t>
  </si>
  <si>
    <t>m2</t>
  </si>
  <si>
    <t>SUMMARY OF WORKS</t>
  </si>
  <si>
    <t>Preliminaries &amp; General</t>
  </si>
  <si>
    <t>Earthworks &amp; Abutment Foundations</t>
  </si>
  <si>
    <t>Piling &amp; Structural Concrete</t>
  </si>
  <si>
    <t>Structural Steel Truss Superstructure</t>
  </si>
  <si>
    <t>SUBTOTAL (EXCL. VAT)</t>
  </si>
  <si>
    <t>VAT (15%)</t>
  </si>
  <si>
    <t>GRAND TOTAL (INCL. VAT)</t>
  </si>
  <si>
    <t>No</t>
  </si>
  <si>
    <t>M3</t>
  </si>
  <si>
    <t xml:space="preserve">SUBTOTAL </t>
  </si>
  <si>
    <t xml:space="preserve">35/20MPa Reinforced Slab footing </t>
  </si>
  <si>
    <t xml:space="preserve">40/20MPa Reinforced Concrete Abutments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</si>
</sst>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-1C09]* #,##0.00_-;\-[$R-1C09]* #,##0.00_-;_-[$R-1C09]* &quot;-&quot;??_-;_-@_-"/>
    <numFmt numFmtId="165" formatCode="_-[$R-1C09]* #,##0.0_-;\-[$R-1C09]* #,##0.0_-;_-[$R-1C09]* &quot;-&quot;??_-;_-@_-"/>
    <numFmt numFmtId="166" formatCode="_-[$R-1C09]* #,##0_-;\-[$R-1C09]* #,##0_-;_-[$R-1C09]* &quot;-&quot;??_-;_-@_-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3" fillId="0" borderId="0" xfId="0" applyFont="1" applyAlignment="1"/>
    <xf numFmtId="164" fontId="3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164" fontId="5" fillId="0" borderId="0" xfId="0" applyNumberFormat="1" applyFont="1" applyAlignment="1"/>
    <xf numFmtId="164" fontId="4" fillId="0" borderId="0" xfId="0" applyNumberFormat="1" applyFont="1" applyAlignment="1"/>
    <xf numFmtId="166" fontId="1" fillId="0" borderId="0" xfId="0" applyNumberFormat="1" applyFont="1" applyAlignment="1"/>
    <xf numFmtId="165" fontId="3" fillId="0" borderId="0" xfId="0" applyNumberFormat="1" applyFont="1" applyAlignment="1"/>
    <xf numFmtId="166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6"/>
  <sheetViews>
    <sheetView tabSelected="1" workbookViewId="0">
      <selection activeCell="G32" sqref="G32"/>
    </sheetView>
  </sheetViews>
  <sheetFormatPr defaultColWidth="12.6640625" defaultRowHeight="15.75" customHeight="1" x14ac:dyDescent="0.25"/>
  <cols>
    <col min="1" max="1" width="35.6640625" customWidth="1"/>
    <col min="2" max="2" width="62.88671875" customWidth="1"/>
    <col min="5" max="6" width="14.332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>
        <v>1</v>
      </c>
      <c r="B3" s="1" t="s">
        <v>6</v>
      </c>
      <c r="C3" s="1"/>
    </row>
    <row r="4" spans="1:6" x14ac:dyDescent="0.25">
      <c r="A4" s="1">
        <v>1.1000000000000001</v>
      </c>
      <c r="B4" s="1" t="s">
        <v>7</v>
      </c>
      <c r="C4" s="1" t="s">
        <v>33</v>
      </c>
      <c r="D4" s="1">
        <v>1</v>
      </c>
      <c r="E4" s="9">
        <v>500000</v>
      </c>
      <c r="F4" s="9">
        <f>E4*D4</f>
        <v>500000</v>
      </c>
    </row>
    <row r="5" spans="1:6" x14ac:dyDescent="0.25">
      <c r="A5" s="1">
        <v>1.2</v>
      </c>
      <c r="B5" s="1" t="s">
        <v>8</v>
      </c>
      <c r="C5" s="1" t="s">
        <v>33</v>
      </c>
      <c r="D5" s="1">
        <v>1</v>
      </c>
      <c r="E5" s="9">
        <v>90000</v>
      </c>
      <c r="F5" s="9">
        <f t="shared" ref="F5:F6" si="0">E5*D5</f>
        <v>90000</v>
      </c>
    </row>
    <row r="6" spans="1:6" x14ac:dyDescent="0.25">
      <c r="A6" s="1">
        <v>1.3</v>
      </c>
      <c r="B6" s="1" t="s">
        <v>9</v>
      </c>
      <c r="C6" s="1"/>
      <c r="D6" s="1">
        <v>1</v>
      </c>
      <c r="E6" s="9">
        <v>48000</v>
      </c>
      <c r="F6" s="9">
        <f t="shared" si="0"/>
        <v>48000</v>
      </c>
    </row>
    <row r="7" spans="1:6" x14ac:dyDescent="0.25">
      <c r="A7" s="3" t="s">
        <v>35</v>
      </c>
      <c r="B7" s="3"/>
      <c r="C7" s="3"/>
      <c r="D7" s="3"/>
      <c r="E7" s="11"/>
      <c r="F7" s="11">
        <f>F6+F5+F4</f>
        <v>638000</v>
      </c>
    </row>
    <row r="8" spans="1:6" x14ac:dyDescent="0.25">
      <c r="A8" s="1"/>
      <c r="D8" s="1"/>
      <c r="F8" s="1"/>
    </row>
    <row r="9" spans="1:6" x14ac:dyDescent="0.25">
      <c r="A9" s="1">
        <v>2</v>
      </c>
      <c r="B9" s="1" t="s">
        <v>11</v>
      </c>
      <c r="C9" s="1"/>
    </row>
    <row r="10" spans="1:6" x14ac:dyDescent="0.25">
      <c r="A10" s="1">
        <v>2.1</v>
      </c>
      <c r="B10" s="1" t="s">
        <v>12</v>
      </c>
      <c r="C10" s="5" t="s">
        <v>13</v>
      </c>
      <c r="D10" s="1">
        <v>550</v>
      </c>
      <c r="E10" s="9">
        <v>165</v>
      </c>
      <c r="F10" s="9">
        <f>E10*D10</f>
        <v>90750</v>
      </c>
    </row>
    <row r="11" spans="1:6" x14ac:dyDescent="0.25">
      <c r="A11" s="1">
        <v>2.2000000000000002</v>
      </c>
      <c r="B11" s="1" t="s">
        <v>14</v>
      </c>
      <c r="C11" s="5" t="s">
        <v>34</v>
      </c>
      <c r="D11" s="1">
        <v>320</v>
      </c>
      <c r="E11" s="9">
        <v>110</v>
      </c>
      <c r="F11" s="9">
        <f>E11*D11</f>
        <v>35200</v>
      </c>
    </row>
    <row r="12" spans="1:6" x14ac:dyDescent="0.25">
      <c r="A12" s="3" t="s">
        <v>35</v>
      </c>
      <c r="B12" s="6"/>
      <c r="C12" s="6"/>
      <c r="D12" s="3" t="s">
        <v>10</v>
      </c>
      <c r="E12" s="7"/>
      <c r="F12" s="11">
        <f>F10+F11</f>
        <v>125950</v>
      </c>
    </row>
    <row r="13" spans="1:6" x14ac:dyDescent="0.25">
      <c r="A13" s="1"/>
      <c r="D13" s="1"/>
      <c r="F13" s="1"/>
    </row>
    <row r="14" spans="1:6" x14ac:dyDescent="0.25">
      <c r="A14" s="1">
        <v>3</v>
      </c>
      <c r="B14" s="1" t="s">
        <v>15</v>
      </c>
      <c r="C14" s="1"/>
    </row>
    <row r="15" spans="1:6" x14ac:dyDescent="0.25">
      <c r="A15" s="1">
        <v>3.1</v>
      </c>
      <c r="B15" s="1" t="s">
        <v>36</v>
      </c>
      <c r="C15" s="1" t="s">
        <v>24</v>
      </c>
      <c r="D15" s="1">
        <v>60</v>
      </c>
      <c r="E15" s="9">
        <v>1950</v>
      </c>
      <c r="F15" s="9">
        <f>E15*D15</f>
        <v>117000</v>
      </c>
    </row>
    <row r="16" spans="1:6" x14ac:dyDescent="0.25">
      <c r="A16" s="1">
        <v>3.2</v>
      </c>
      <c r="B16" s="1" t="s">
        <v>37</v>
      </c>
      <c r="C16" s="1" t="s">
        <v>13</v>
      </c>
      <c r="D16" s="1">
        <v>185</v>
      </c>
      <c r="E16" s="9">
        <v>2450</v>
      </c>
      <c r="F16" s="9">
        <f t="shared" ref="F16:F18" si="1">E16*D16</f>
        <v>453250</v>
      </c>
    </row>
    <row r="17" spans="1:6" x14ac:dyDescent="0.25">
      <c r="A17" s="1">
        <v>3.3</v>
      </c>
      <c r="B17" s="1" t="s">
        <v>16</v>
      </c>
      <c r="C17" s="1" t="s">
        <v>17</v>
      </c>
      <c r="D17" s="1">
        <v>16.5</v>
      </c>
      <c r="E17" s="9">
        <v>32000</v>
      </c>
      <c r="F17" s="9">
        <f t="shared" si="1"/>
        <v>528000</v>
      </c>
    </row>
    <row r="18" spans="1:6" x14ac:dyDescent="0.25">
      <c r="A18" s="1">
        <v>3.4</v>
      </c>
      <c r="B18" s="1" t="s">
        <v>18</v>
      </c>
      <c r="C18" s="1" t="s">
        <v>13</v>
      </c>
      <c r="D18" s="1">
        <v>210</v>
      </c>
      <c r="E18" s="9">
        <v>3150</v>
      </c>
      <c r="F18" s="9">
        <f t="shared" si="1"/>
        <v>661500</v>
      </c>
    </row>
    <row r="19" spans="1:6" x14ac:dyDescent="0.25">
      <c r="A19" s="3" t="s">
        <v>35</v>
      </c>
      <c r="B19" s="6"/>
      <c r="C19" s="6"/>
      <c r="D19" s="3" t="s">
        <v>10</v>
      </c>
      <c r="E19" s="6"/>
      <c r="F19" s="11">
        <f>F15+F16+F17+F18</f>
        <v>1759750</v>
      </c>
    </row>
    <row r="20" spans="1:6" x14ac:dyDescent="0.25">
      <c r="A20" s="1"/>
      <c r="D20" s="1"/>
      <c r="F20" s="2"/>
    </row>
    <row r="21" spans="1:6" x14ac:dyDescent="0.25">
      <c r="A21" s="1">
        <v>4</v>
      </c>
      <c r="B21" s="1" t="s">
        <v>19</v>
      </c>
      <c r="C21" s="1">
        <v>0</v>
      </c>
    </row>
    <row r="22" spans="1:6" x14ac:dyDescent="0.25">
      <c r="A22" s="1">
        <v>4.0999999999999996</v>
      </c>
      <c r="B22" s="1" t="s">
        <v>20</v>
      </c>
      <c r="C22" s="1" t="s">
        <v>17</v>
      </c>
      <c r="D22" s="1">
        <v>32</v>
      </c>
      <c r="E22" s="9">
        <v>36500</v>
      </c>
      <c r="F22" s="9">
        <f>E22*D22</f>
        <v>1168000</v>
      </c>
    </row>
    <row r="23" spans="1:6" x14ac:dyDescent="0.25">
      <c r="A23" s="1">
        <v>4.2</v>
      </c>
      <c r="B23" s="1" t="s">
        <v>21</v>
      </c>
      <c r="C23" s="1" t="s">
        <v>17</v>
      </c>
      <c r="D23" s="1">
        <v>18.5</v>
      </c>
      <c r="E23" s="9">
        <v>36500</v>
      </c>
      <c r="F23" s="9">
        <f t="shared" ref="F23:F25" si="2">E23*D23</f>
        <v>675250</v>
      </c>
    </row>
    <row r="24" spans="1:6" x14ac:dyDescent="0.25">
      <c r="A24" s="1">
        <v>4.3</v>
      </c>
      <c r="B24" s="1" t="s">
        <v>22</v>
      </c>
      <c r="C24" s="1" t="s">
        <v>17</v>
      </c>
      <c r="D24" s="1">
        <v>6.2</v>
      </c>
      <c r="E24" s="9">
        <v>38000</v>
      </c>
      <c r="F24" s="9">
        <f t="shared" si="2"/>
        <v>235600</v>
      </c>
    </row>
    <row r="25" spans="1:6" x14ac:dyDescent="0.25">
      <c r="A25" s="1">
        <v>4.4000000000000004</v>
      </c>
      <c r="B25" s="1" t="s">
        <v>23</v>
      </c>
      <c r="C25" s="1" t="s">
        <v>24</v>
      </c>
      <c r="D25" s="1">
        <v>1850</v>
      </c>
      <c r="E25" s="9">
        <v>68</v>
      </c>
      <c r="F25" s="9">
        <f t="shared" si="2"/>
        <v>125800</v>
      </c>
    </row>
    <row r="26" spans="1:6" x14ac:dyDescent="0.25">
      <c r="A26" s="3" t="s">
        <v>35</v>
      </c>
      <c r="B26" s="6"/>
      <c r="C26" s="6"/>
      <c r="D26" s="3" t="s">
        <v>10</v>
      </c>
      <c r="E26" s="6"/>
      <c r="F26" s="10">
        <f>F22+F23+F24+F25</f>
        <v>2204650</v>
      </c>
    </row>
    <row r="27" spans="1:6" x14ac:dyDescent="0.25">
      <c r="A27" s="1"/>
      <c r="D27" s="1"/>
      <c r="F27" s="1"/>
    </row>
    <row r="28" spans="1:6" x14ac:dyDescent="0.25">
      <c r="A28" s="1" t="s">
        <v>25</v>
      </c>
      <c r="B28" s="1"/>
    </row>
    <row r="29" spans="1:6" x14ac:dyDescent="0.25">
      <c r="A29" s="1" t="s">
        <v>26</v>
      </c>
      <c r="B29" s="1">
        <v>1</v>
      </c>
      <c r="E29" s="9">
        <f>F7</f>
        <v>638000</v>
      </c>
    </row>
    <row r="30" spans="1:6" x14ac:dyDescent="0.25">
      <c r="A30" s="1" t="s">
        <v>27</v>
      </c>
      <c r="B30" s="1">
        <v>1</v>
      </c>
      <c r="E30" s="9">
        <f>F12</f>
        <v>125950</v>
      </c>
    </row>
    <row r="31" spans="1:6" x14ac:dyDescent="0.25">
      <c r="A31" s="1" t="s">
        <v>28</v>
      </c>
      <c r="B31" s="1">
        <v>1</v>
      </c>
      <c r="E31" s="9">
        <f>F19</f>
        <v>1759750</v>
      </c>
    </row>
    <row r="32" spans="1:6" x14ac:dyDescent="0.25">
      <c r="A32" s="1" t="s">
        <v>29</v>
      </c>
      <c r="B32" s="1">
        <v>1</v>
      </c>
      <c r="E32" s="9">
        <f>F26</f>
        <v>2204650</v>
      </c>
    </row>
    <row r="33" spans="1:5" x14ac:dyDescent="0.25">
      <c r="A33" s="1"/>
      <c r="B33" s="1"/>
      <c r="E33" s="2"/>
    </row>
    <row r="34" spans="1:5" x14ac:dyDescent="0.25">
      <c r="A34" s="1" t="s">
        <v>30</v>
      </c>
      <c r="B34" s="1">
        <v>1</v>
      </c>
      <c r="E34" s="2">
        <f>E29+E30+E31+E32</f>
        <v>4728350</v>
      </c>
    </row>
    <row r="35" spans="1:5" x14ac:dyDescent="0.25">
      <c r="A35" s="1" t="s">
        <v>31</v>
      </c>
      <c r="B35" s="1">
        <v>1</v>
      </c>
      <c r="E35" s="8">
        <f>0.15*E34</f>
        <v>709252.5</v>
      </c>
    </row>
    <row r="36" spans="1:5" x14ac:dyDescent="0.25">
      <c r="A36" s="3" t="s">
        <v>32</v>
      </c>
      <c r="B36" s="3">
        <v>1</v>
      </c>
      <c r="C36" s="6"/>
      <c r="D36" s="6"/>
      <c r="E36" s="4">
        <f>E34+E35</f>
        <v>5437602.5</v>
      </c>
    </row>
  </sheetData>
  <phoneticPr fontId="2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Siphuthando M Mkhize</cp:lastModifiedBy>
  <dcterms:modified xsi:type="dcterms:W3CDTF">2026-10-09T09:24:51Z</dcterms:modified>
</cp:coreProperties>
</file>