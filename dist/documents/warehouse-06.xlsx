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OneDrive\Desktop\Portfolio\Distribution Warehouse Project\"/>
    </mc:Choice>
  </mc:AlternateContent>
  <xr:revisionPtr revIDLastSave="0" documentId="13_ncr:1_{7C6EB01E-90BE-4D25-B2B0-A85AA0801E7E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Scope" sheetId="1" r:id="rId1"/>
    <sheet name="Inputs" sheetId="2" r:id="rId2"/>
    <sheet name="Standards" sheetId="3" r:id="rId3"/>
    <sheet name="Loads" sheetId="4" r:id="rId4"/>
    <sheet name="Wind" sheetId="5" r:id="rId5"/>
    <sheet name="Combinations" sheetId="6" r:id="rId6"/>
    <sheet name="Sections" sheetId="7" r:id="rId7"/>
    <sheet name="Member_Checks" sheetId="8" r:id="rId8"/>
    <sheet name="Steel_Detailed" sheetId="9" r:id="rId9"/>
    <sheet name="Connections" sheetId="10" r:id="rId10"/>
    <sheet name="Foundations" sheetId="11" r:id="rId11"/>
    <sheet name="Masonry" sheetId="12" r:id="rId12"/>
    <sheet name="QA_Checklist" sheetId="13" r:id="rId13"/>
    <sheet name="Formula_Not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2" l="1"/>
  <c r="E15" i="12" s="1"/>
  <c r="G15" i="12" s="1"/>
  <c r="H15" i="12" s="1"/>
  <c r="B14" i="12"/>
  <c r="F13" i="12" s="1"/>
  <c r="B12" i="12"/>
  <c r="B13" i="11"/>
  <c r="B12" i="11"/>
  <c r="B19" i="11" s="1"/>
  <c r="B20" i="11" s="1"/>
  <c r="B11" i="11"/>
  <c r="B10" i="11"/>
  <c r="I7" i="10"/>
  <c r="H7" i="10"/>
  <c r="I6" i="10"/>
  <c r="H6" i="10"/>
  <c r="I5" i="10"/>
  <c r="H5" i="10"/>
  <c r="I4" i="10"/>
  <c r="H4" i="10"/>
  <c r="L7" i="9"/>
  <c r="Q7" i="8" s="1"/>
  <c r="S7" i="8" s="1"/>
  <c r="C7" i="9"/>
  <c r="F7" i="9" s="1"/>
  <c r="G7" i="9" s="1"/>
  <c r="H7" i="9" s="1"/>
  <c r="K6" i="9"/>
  <c r="P6" i="8" s="1"/>
  <c r="C6" i="9"/>
  <c r="C5" i="9"/>
  <c r="F5" i="9" s="1"/>
  <c r="G5" i="9" s="1"/>
  <c r="H5" i="9" s="1"/>
  <c r="K4" i="9"/>
  <c r="C4" i="9"/>
  <c r="I7" i="8"/>
  <c r="H7" i="8"/>
  <c r="G7" i="8"/>
  <c r="K7" i="9" s="1"/>
  <c r="P7" i="8" s="1"/>
  <c r="F7" i="8"/>
  <c r="E7" i="8"/>
  <c r="E7" i="9" s="1"/>
  <c r="D7" i="8"/>
  <c r="N7" i="8" s="1"/>
  <c r="N6" i="8"/>
  <c r="I6" i="8"/>
  <c r="H6" i="8"/>
  <c r="L6" i="9" s="1"/>
  <c r="Q6" i="8" s="1"/>
  <c r="S6" i="8" s="1"/>
  <c r="G6" i="8"/>
  <c r="F6" i="8"/>
  <c r="E6" i="8"/>
  <c r="E6" i="9" s="1"/>
  <c r="F6" i="9" s="1"/>
  <c r="G6" i="9" s="1"/>
  <c r="H6" i="9" s="1"/>
  <c r="D6" i="8"/>
  <c r="N5" i="8"/>
  <c r="I5" i="8"/>
  <c r="H5" i="8"/>
  <c r="L5" i="9" s="1"/>
  <c r="Q5" i="8" s="1"/>
  <c r="S5" i="8" s="1"/>
  <c r="G5" i="8"/>
  <c r="K5" i="9" s="1"/>
  <c r="P5" i="8" s="1"/>
  <c r="F5" i="8"/>
  <c r="E5" i="8"/>
  <c r="E5" i="9" s="1"/>
  <c r="D5" i="8"/>
  <c r="P4" i="8"/>
  <c r="T4" i="8" s="1"/>
  <c r="I4" i="8"/>
  <c r="H4" i="8"/>
  <c r="L4" i="9" s="1"/>
  <c r="Q4" i="8" s="1"/>
  <c r="S4" i="8" s="1"/>
  <c r="G4" i="8"/>
  <c r="F4" i="8"/>
  <c r="E4" i="8"/>
  <c r="E4" i="9" s="1"/>
  <c r="D4" i="8"/>
  <c r="N4" i="8" s="1"/>
  <c r="E5" i="6"/>
  <c r="E4" i="6"/>
  <c r="B10" i="5"/>
  <c r="B8" i="5"/>
  <c r="B7" i="5"/>
  <c r="B4" i="5"/>
  <c r="B6" i="5" s="1"/>
  <c r="B9" i="5" s="1"/>
  <c r="B11" i="5" s="1"/>
  <c r="B9" i="4"/>
  <c r="B5" i="6" s="1"/>
  <c r="B8" i="4"/>
  <c r="D8" i="4" s="1"/>
  <c r="D7" i="4"/>
  <c r="B7" i="4"/>
  <c r="B10" i="4" s="1"/>
  <c r="B6" i="4"/>
  <c r="D6" i="4" s="1"/>
  <c r="B5" i="4"/>
  <c r="D5" i="4" s="1"/>
  <c r="B4" i="4"/>
  <c r="D4" i="4" s="1"/>
  <c r="B10" i="2"/>
  <c r="B9" i="2"/>
  <c r="C7" i="6" l="1"/>
  <c r="C4" i="6"/>
  <c r="B15" i="5"/>
  <c r="B13" i="5"/>
  <c r="B12" i="5"/>
  <c r="B14" i="5"/>
  <c r="D6" i="6" s="1"/>
  <c r="T6" i="8"/>
  <c r="R6" i="8"/>
  <c r="U6" i="8" s="1"/>
  <c r="V6" i="8" s="1"/>
  <c r="J6" i="9"/>
  <c r="O6" i="8" s="1"/>
  <c r="T5" i="8"/>
  <c r="J5" i="9"/>
  <c r="O5" i="8" s="1"/>
  <c r="R5" i="8" s="1"/>
  <c r="U5" i="8" s="1"/>
  <c r="V5" i="8" s="1"/>
  <c r="F4" i="9"/>
  <c r="G4" i="9" s="1"/>
  <c r="H4" i="9" s="1"/>
  <c r="T7" i="8"/>
  <c r="R7" i="8"/>
  <c r="U7" i="8" s="1"/>
  <c r="V7" i="8" s="1"/>
  <c r="J4" i="9"/>
  <c r="O4" i="8" s="1"/>
  <c r="R4" i="8" s="1"/>
  <c r="U4" i="8" s="1"/>
  <c r="V4" i="8" s="1"/>
  <c r="J7" i="9"/>
  <c r="O7" i="8" s="1"/>
  <c r="B11" i="4"/>
  <c r="B4" i="6"/>
  <c r="B6" i="6"/>
  <c r="B7" i="6"/>
  <c r="B14" i="11"/>
  <c r="B16" i="11" s="1"/>
  <c r="B15" i="11"/>
  <c r="B17" i="11"/>
  <c r="B18" i="11" s="1"/>
  <c r="B8" i="6"/>
  <c r="B9" i="12" l="1"/>
  <c r="B11" i="12" s="1"/>
  <c r="B13" i="12" s="1"/>
  <c r="E13" i="12" s="1"/>
  <c r="G13" i="12" s="1"/>
  <c r="H13" i="12" s="1"/>
  <c r="D8" i="6"/>
  <c r="D5" i="6"/>
</calcChain>
</file>

<file path=xl/sharedStrings.xml><?xml version="1.0" encoding="utf-8"?>
<sst xmlns="http://schemas.openxmlformats.org/spreadsheetml/2006/main" count="594" uniqueCount="433">
  <si>
    <t>Item</t>
  </si>
  <si>
    <t>Assumption / note</t>
  </si>
  <si>
    <t>Purpose</t>
  </si>
  <si>
    <t>Parameter-driven preliminary structural design workbook for a single-storey steel warehouse. It is intentionally editable and exposes assumptions, load cases, member checks, connections and foundation checks.</t>
  </si>
  <si>
    <t>Baseline geometry</t>
  </si>
  <si>
    <t>48 m long × 24 m wide; 8.0 m eaves; 10.0 m ridge; 6.0 m frame spacing; 8 portal bays / 9 transverse frames; 9.46° roof pitch.</t>
  </si>
  <si>
    <t>Durban wind</t>
  </si>
  <si>
    <t>eThekwini municipality is set to SANS 10160-3:2019 Annex A basic 1:50-year 3 s gust wind speed vb,0 = 36 m/s. Terrain is initially Category C; site-specific terrain/topography must be confirmed.</t>
  </si>
  <si>
    <t>Loads</t>
  </si>
  <si>
    <t>Roof dead load is parameterised. Inaccessible roof maintenance load uses SANS 10160-2:2011 category H2 baseline qk = 0.25 kPa for loaded areas ≥15 m², with the separate 1.0 kN concentrated check retained.</t>
  </si>
  <si>
    <t>Steel</t>
  </si>
  <si>
    <t>Hot-rolled steel design is set to SANS 10162-1:2011 Edition 2.1. Section properties are user inputs and must be replaced/verified against the actual manufacturer section table.</t>
  </si>
  <si>
    <t>Concrete</t>
  </si>
  <si>
    <t>Foundations are preliminary reinforced-concrete checks to SANS 10100-1:2000, with material/execution references to SANS 10100-2:2014.</t>
  </si>
  <si>
    <t>Masonry</t>
  </si>
  <si>
    <t>Non-loadbearing infill wall screening includes wind out-of-plane demand and a simplified slenderness/capacity check. Detailed reinforced masonry should be verified to SANS 10164-1/-2 where applicable.</t>
  </si>
  <si>
    <t>Foundation assumption</t>
  </si>
  <si>
    <t>Preliminary founding level = 1.20 m below ground level, allowable service bearing = 150 kPa, soil unit weight = 18 kN/m³, base friction coefficient = 0.45. These are NOT a substitute for a geotechnical investigation.</t>
  </si>
  <si>
    <t>Tender status</t>
  </si>
  <si>
    <t>This workbook is a design-development/calculation aid, not a signed structural design certificate. A South African registered professional engineer must verify the structural analysis, geotechnical parameters, connections, detailing and tender drawings before issue.</t>
  </si>
  <si>
    <t>Calculation classification</t>
  </si>
  <si>
    <t>Preliminary design-development tool. It is not a substitute for a full frame analysis, geotechnical report, connection design, detailing review or signed professional-engineer issue.</t>
  </si>
  <si>
    <t>PROJECT INPUTS / DESIGN BASIS</t>
  </si>
  <si>
    <t>Parameter</t>
  </si>
  <si>
    <t>Value</t>
  </si>
  <si>
    <t>Units</t>
  </si>
  <si>
    <t>Clause / basis</t>
  </si>
  <si>
    <t>Building length</t>
  </si>
  <si>
    <t>m</t>
  </si>
  <si>
    <t>Project assumption</t>
  </si>
  <si>
    <t>Building width</t>
  </si>
  <si>
    <t>Eaves height</t>
  </si>
  <si>
    <t>Ridge height</t>
  </si>
  <si>
    <t>Frame spacing</t>
  </si>
  <si>
    <t>Number of bays</t>
  </si>
  <si>
    <t>No.</t>
  </si>
  <si>
    <t>Derived: length / frame spacing</t>
  </si>
  <si>
    <t>Roof pitch</t>
  </si>
  <si>
    <t>deg</t>
  </si>
  <si>
    <t>Geometry</t>
  </si>
  <si>
    <t>Steel grade</t>
  </si>
  <si>
    <t>MPa</t>
  </si>
  <si>
    <t>SANS 10162-1:2011 / SANS 1431 or approved equivalent</t>
  </si>
  <si>
    <t>Steel E</t>
  </si>
  <si>
    <t>SANS 10162-1:2011 material input</t>
  </si>
  <si>
    <t>Steel density</t>
  </si>
  <si>
    <t>kN/m³</t>
  </si>
  <si>
    <t>SANS 10160-2 self-weight / material density basis</t>
  </si>
  <si>
    <t>Concrete grade</t>
  </si>
  <si>
    <t>SANS 10100-1:2000 preliminary</t>
  </si>
  <si>
    <t>Rebar yield</t>
  </si>
  <si>
    <t>Project assumption; verify reinforcement product</t>
  </si>
  <si>
    <t>Concrete density</t>
  </si>
  <si>
    <t>Material input</t>
  </si>
  <si>
    <t>Roof sheeting</t>
  </si>
  <si>
    <t>kPa</t>
  </si>
  <si>
    <t>Manufacturer / project allowance</t>
  </si>
  <si>
    <t>Purlins &amp; rails</t>
  </si>
  <si>
    <t>Project allowance</t>
  </si>
  <si>
    <t>Services allowance</t>
  </si>
  <si>
    <t>Roof maintenance qk</t>
  </si>
  <si>
    <t>SANS 10160-2:2011 Table 5, H2, A ≥15 m²</t>
  </si>
  <si>
    <t>Roof concentrated Qk</t>
  </si>
  <si>
    <t>kN</t>
  </si>
  <si>
    <t>SANS 10160-2:2011 Table 5</t>
  </si>
  <si>
    <t>Wind vb,0</t>
  </si>
  <si>
    <t>m/s</t>
  </si>
  <si>
    <t>SANS 10160-3:2019 Annex A, eThekwini</t>
  </si>
  <si>
    <t>Wind terrain</t>
  </si>
  <si>
    <t>C</t>
  </si>
  <si>
    <t>SANS 10160-3:2019 Table 2 — provisional</t>
  </si>
  <si>
    <t>Site altitude</t>
  </si>
  <si>
    <t>Preliminary; replace with survey</t>
  </si>
  <si>
    <t>Air density</t>
  </si>
  <si>
    <t>kg/m³</t>
  </si>
  <si>
    <t>SANS 10160-3:2019 Table 4 at 0 m</t>
  </si>
  <si>
    <t>Topography factor c0</t>
  </si>
  <si>
    <t>SANS 10160-3:2019 7.3.3 — provisional</t>
  </si>
  <si>
    <t>Internal pressure +Cpi</t>
  </si>
  <si>
    <t>SANS 10160-3:2019 8.3.9 — screening</t>
  </si>
  <si>
    <t>Internal pressure -Cpi</t>
  </si>
  <si>
    <t>Wall external Cpe windward</t>
  </si>
  <si>
    <t>Screening coefficient; verify by zone</t>
  </si>
  <si>
    <t>Wall external Cpe leeward</t>
  </si>
  <si>
    <t>Roof external Cpe uplift</t>
  </si>
  <si>
    <t>Screening envelope coefficient; verify by zone</t>
  </si>
  <si>
    <t>Roof external Cpe down</t>
  </si>
  <si>
    <t>ULS permanent γG</t>
  </si>
  <si>
    <t>SANS 10160-1:2011 Table 3 — STR</t>
  </si>
  <si>
    <t>ULS variable γQ</t>
  </si>
  <si>
    <t>SANS 10160-1:2011 Table 3 — imposed loads</t>
  </si>
  <si>
    <t>ULS wind γW</t>
  </si>
  <si>
    <t>SANS 10160-1:2011 Table 3 — wind</t>
  </si>
  <si>
    <t>Serviceability factor variable</t>
  </si>
  <si>
    <t>Characteristic serviceability</t>
  </si>
  <si>
    <t>Foundation depth</t>
  </si>
  <si>
    <t>Preliminary geotechnical assumption</t>
  </si>
  <si>
    <t>Allowable bearing pressure</t>
  </si>
  <si>
    <t>Preliminary only — geotechnical confirmation required</t>
  </si>
  <si>
    <t>Soil unit weight</t>
  </si>
  <si>
    <t>Preliminary only</t>
  </si>
  <si>
    <t>Base friction μ</t>
  </si>
  <si>
    <t>Foundation concrete cover</t>
  </si>
  <si>
    <t>mm</t>
  </si>
  <si>
    <t>Preliminary; durability/fire/geotech to govern</t>
  </si>
  <si>
    <t>SANS DESIGN STANDARDS / CLAUSE REGISTER</t>
  </si>
  <si>
    <t>Standard</t>
  </si>
  <si>
    <t>Edition used</t>
  </si>
  <si>
    <t>Design area</t>
  </si>
  <si>
    <t>Clauses / formulae represented</t>
  </si>
  <si>
    <t>SANS 10160-1</t>
  </si>
  <si>
    <t>2011 Ed 1.1</t>
  </si>
  <si>
    <t>Basis, combinations, partial factors</t>
  </si>
  <si>
    <t>6; 7.3; Table 3; action-combination philosophy</t>
  </si>
  <si>
    <t>SANS 10160-2</t>
  </si>
  <si>
    <t>Self-weight and imposed loads</t>
  </si>
  <si>
    <t>8; 9.2; 9.3.4; Table 5 roof H1/H2; concentrated roof load</t>
  </si>
  <si>
    <t>SANS 10160-3</t>
  </si>
  <si>
    <t>2019 Ed 2.1</t>
  </si>
  <si>
    <t>Wind actions</t>
  </si>
  <si>
    <t>7.2 basic speed; 7.3 peak speed; 7.4 pressure; 8.3 wall/roof pressure zoning</t>
  </si>
  <si>
    <t>SANS 10160-4</t>
  </si>
  <si>
    <t>2017 Ed 2</t>
  </si>
  <si>
    <t>Seismic actions</t>
  </si>
  <si>
    <t>Seismic screening inputs; confirm applicability and site parameters</t>
  </si>
  <si>
    <t>SANS 10160-5</t>
  </si>
  <si>
    <t>current adopted edition to be verified</t>
  </si>
  <si>
    <t>Geotechnical actions</t>
  </si>
  <si>
    <t>Bearing, sliding, overturning and soil action framework; geotechnical report required</t>
  </si>
  <si>
    <t>SANS 10162-1</t>
  </si>
  <si>
    <t>2011 Ed 2.1</t>
  </si>
  <si>
    <t>Hot-rolled steelwork</t>
  </si>
  <si>
    <t>10 effective length; 11 section class; 13.3 compression; 13.4 shear; 13.5/13.6 bending; 13.8 interaction; 21 connections</t>
  </si>
  <si>
    <t>SANS 10162-2</t>
  </si>
  <si>
    <t>Cold-formed steelwork</t>
  </si>
  <si>
    <t>Required if Z/C cold-formed purlins are selected</t>
  </si>
  <si>
    <t>SANS 10100-1</t>
  </si>
  <si>
    <t>2000 Ed 2.2</t>
  </si>
  <si>
    <t>Reinforced concrete design</t>
  </si>
  <si>
    <t>Limit states; flexure; shear; punching; columns; isolated foundations</t>
  </si>
  <si>
    <t>SANS 10100-2</t>
  </si>
  <si>
    <t>2014 Ed 3</t>
  </si>
  <si>
    <t>Concrete materials/execution</t>
  </si>
  <si>
    <t>Materials, durability and execution</t>
  </si>
  <si>
    <t>SANS 10164-1</t>
  </si>
  <si>
    <t>adopted edition to be verified</t>
  </si>
  <si>
    <t>Unreinforced masonry</t>
  </si>
  <si>
    <t>Unit/mortar strength and structural masonry design</t>
  </si>
  <si>
    <t>SANS 10164-2</t>
  </si>
  <si>
    <t>2008</t>
  </si>
  <si>
    <t>Reinforced masonry</t>
  </si>
  <si>
    <t>Reinforced masonry where wall design requires it</t>
  </si>
  <si>
    <t>SANS 10400-A</t>
  </si>
  <si>
    <t>2022 Ed 4</t>
  </si>
  <si>
    <t>General building regulations</t>
  </si>
  <si>
    <t>Rational design / competent-person route</t>
  </si>
  <si>
    <t>SANS 10400-B</t>
  </si>
  <si>
    <t>latest adopted edition to be verified</t>
  </si>
  <si>
    <t>Structural design regulation</t>
  </si>
  <si>
    <t>Structural safety and rational design framework</t>
  </si>
  <si>
    <t>SANS 10400-H</t>
  </si>
  <si>
    <t>Foundations</t>
  </si>
  <si>
    <t>Foundation requirements and building-regulation interface</t>
  </si>
  <si>
    <t>SANS 10400-K</t>
  </si>
  <si>
    <t>Walls</t>
  </si>
  <si>
    <t>Walling provisions / interface</t>
  </si>
  <si>
    <t>CHARACTERISTIC LOADS AND TRIBUTARY ACTIONS</t>
  </si>
  <si>
    <t>Load</t>
  </si>
  <si>
    <t>Frame tributary</t>
  </si>
  <si>
    <t>Basis / formula</t>
  </si>
  <si>
    <t>Roof dead — sheeting</t>
  </si>
  <si>
    <t>Input × frame spacing</t>
  </si>
  <si>
    <t>Roof dead — purlins/rails</t>
  </si>
  <si>
    <t>Roof dead — services</t>
  </si>
  <si>
    <t>Roof maintenance</t>
  </si>
  <si>
    <t>SANS 10160-2 Table 5 H2, A ≥15 m²</t>
  </si>
  <si>
    <t>Roof concentrated</t>
  </si>
  <si>
    <t>Separate check; not simultaneous with qk</t>
  </si>
  <si>
    <t>Total roof Gk</t>
  </si>
  <si>
    <t>Total roof Qk</t>
  </si>
  <si>
    <t>ULS roof G+Q</t>
  </si>
  <si>
    <t>SANS 10160-1 STR</t>
  </si>
  <si>
    <t>SANS 10160-3 WIND ACTION — SCREENING ENVELOPE</t>
  </si>
  <si>
    <t>Formula</t>
  </si>
  <si>
    <t>Clause / note</t>
  </si>
  <si>
    <t>vb,0</t>
  </si>
  <si>
    <t>Input</t>
  </si>
  <si>
    <t>Annex A, eThekwini = 36 m/s</t>
  </si>
  <si>
    <t>cprob</t>
  </si>
  <si>
    <t>For 50-year baseline, cprob = 1.0</t>
  </si>
  <si>
    <t>7.2.3</t>
  </si>
  <si>
    <t>vb</t>
  </si>
  <si>
    <t>cprob × vb,0</t>
  </si>
  <si>
    <t>7.2.2 Eq. 1</t>
  </si>
  <si>
    <t>cr(z) at eaves</t>
  </si>
  <si>
    <t>Provisional category C at 6–8 m</t>
  </si>
  <si>
    <t>Table 3 interpolation</t>
  </si>
  <si>
    <t>c0(z)</t>
  </si>
  <si>
    <t>7.3.3</t>
  </si>
  <si>
    <t>vp(z)</t>
  </si>
  <si>
    <t>cr × c0 × vb</t>
  </si>
  <si>
    <t>7.3.1 Eq. 3</t>
  </si>
  <si>
    <t>rho</t>
  </si>
  <si>
    <t>Table 4</t>
  </si>
  <si>
    <t>qp(z)</t>
  </si>
  <si>
    <t>0.5 rho vp²</t>
  </si>
  <si>
    <t>7.4 Eq. 6</t>
  </si>
  <si>
    <t>Windward wall net +</t>
  </si>
  <si>
    <t>qp(Cpe-Cpi+)</t>
  </si>
  <si>
    <t>8.3 screening</t>
  </si>
  <si>
    <t>Windward wall net -</t>
  </si>
  <si>
    <t>Conservative suction envelope</t>
  </si>
  <si>
    <t>Roof uplift net</t>
  </si>
  <si>
    <t>8.3 roof envelope</t>
  </si>
  <si>
    <t>Roof downward net</t>
  </si>
  <si>
    <t>qp(Cpe-Cpi-)</t>
  </si>
  <si>
    <t>DESIGN ACTION COMBINATIONS</t>
  </si>
  <si>
    <t>Combination</t>
  </si>
  <si>
    <t>Gk</t>
  </si>
  <si>
    <t>Qk</t>
  </si>
  <si>
    <t>Wk</t>
  </si>
  <si>
    <t>Factor / result</t>
  </si>
  <si>
    <t>Use</t>
  </si>
  <si>
    <t>ULS STR: G + Q</t>
  </si>
  <si>
    <t>Gravity resistance</t>
  </si>
  <si>
    <t>ULS STR: G + W</t>
  </si>
  <si>
    <t>Wind / uplift resistance</t>
  </si>
  <si>
    <t>ULS uplift: 0.9G + 1.3W</t>
  </si>
  <si>
    <t>0.9G + 1.3W</t>
  </si>
  <si>
    <t>Overturning/uplift</t>
  </si>
  <si>
    <t>SLS: G + Q</t>
  </si>
  <si>
    <t>1.0G + 1.0Q</t>
  </si>
  <si>
    <t>Deflection</t>
  </si>
  <si>
    <t>SLS: G + W</t>
  </si>
  <si>
    <t>1.0G + 1.0W</t>
  </si>
  <si>
    <t>Drift / service</t>
  </si>
  <si>
    <t>SECTION PROPERTY LIBRARY — VERIFY AGAINST SUPPLIER TABLE</t>
  </si>
  <si>
    <t>Mark</t>
  </si>
  <si>
    <t>Section</t>
  </si>
  <si>
    <t>A mm²</t>
  </si>
  <si>
    <t>Ix mm⁴</t>
  </si>
  <si>
    <t>Iy mm⁴</t>
  </si>
  <si>
    <t>Zplx mm³</t>
  </si>
  <si>
    <t>Zely mm³</t>
  </si>
  <si>
    <t>rx mm</t>
  </si>
  <si>
    <t>ry mm</t>
  </si>
  <si>
    <t>tw mm</t>
  </si>
  <si>
    <t>h mm</t>
  </si>
  <si>
    <t>Class</t>
  </si>
  <si>
    <t>R1</t>
  </si>
  <si>
    <t>IPE 360</t>
  </si>
  <si>
    <t>C1</t>
  </si>
  <si>
    <t>HEB 240</t>
  </si>
  <si>
    <t>P1</t>
  </si>
  <si>
    <t>IPE 180</t>
  </si>
  <si>
    <t>B1</t>
  </si>
  <si>
    <t>L 90x90x8</t>
  </si>
  <si>
    <t>STEEL MEMBER CHECKS — SANS 10162-1 SCREENING</t>
  </si>
  <si>
    <t>Member</t>
  </si>
  <si>
    <t>L m</t>
  </si>
  <si>
    <t>Mu kNm</t>
  </si>
  <si>
    <t>Vu kN</t>
  </si>
  <si>
    <t>Nu kN</t>
  </si>
  <si>
    <t>Status is screening only; use analysed actions and detailed code checks before issue.</t>
  </si>
  <si>
    <t>Tension capacity kN</t>
  </si>
  <si>
    <t>Compression capacity kN</t>
  </si>
  <si>
    <t>Bending capacity kNm</t>
  </si>
  <si>
    <t>Shear capacity kN</t>
  </si>
  <si>
    <t>P-M interaction</t>
  </si>
  <si>
    <t>Shear ratio</t>
  </si>
  <si>
    <t>Bending ratio</t>
  </si>
  <si>
    <t>Compression ratio</t>
  </si>
  <si>
    <t>Overall utilisation</t>
  </si>
  <si>
    <t>Status</t>
  </si>
  <si>
    <t>RF-01</t>
  </si>
  <si>
    <t>Rafter — replace actions with frame analysis results</t>
  </si>
  <si>
    <t>COL-01</t>
  </si>
  <si>
    <t>Column — replace actions with frame analysis results</t>
  </si>
  <si>
    <t>PURL-01</t>
  </si>
  <si>
    <t>Purlin — SANS 10162-1 screening; use SANS 10162-2 for cold formed</t>
  </si>
  <si>
    <t>BR-01</t>
  </si>
  <si>
    <t>Bracing tension member</t>
  </si>
  <si>
    <t>DETAILED STEEL CHECK HELPERS — SANS 10162-1 CLAUSES 10, 11, 13</t>
  </si>
  <si>
    <t>L mm</t>
  </si>
  <si>
    <t>K</t>
  </si>
  <si>
    <t>rmin mm</t>
  </si>
  <si>
    <t>KL/r</t>
  </si>
  <si>
    <t>Fe MPa</t>
  </si>
  <si>
    <t>lambda</t>
  </si>
  <si>
    <t>n</t>
  </si>
  <si>
    <t>Cr kN</t>
  </si>
  <si>
    <t>Mr kNm</t>
  </si>
  <si>
    <t>Vr kN</t>
  </si>
  <si>
    <t>Clause</t>
  </si>
  <si>
    <t>10; 13.3; 13.4; 13.5</t>
  </si>
  <si>
    <t>CONNECTION DESIGN SCHEDULE — SANS 10162-1 CLAUSE 21 / 22</t>
  </si>
  <si>
    <t>Connection</t>
  </si>
  <si>
    <t>Bolt grade</t>
  </si>
  <si>
    <t>Bolt dia mm</t>
  </si>
  <si>
    <t>No. bolts</t>
  </si>
  <si>
    <t>Plate t mm</t>
  </si>
  <si>
    <t>Shear demand kN</t>
  </si>
  <si>
    <t>Bolt shear resistance kN</t>
  </si>
  <si>
    <t>Plate/block resistance kN</t>
  </si>
  <si>
    <t>Notes</t>
  </si>
  <si>
    <t>CON-01</t>
  </si>
  <si>
    <t>Rafter-to-column knee</t>
  </si>
  <si>
    <t>8.8</t>
  </si>
  <si>
    <t>Design for shear, moment, axial; include prying and block shear</t>
  </si>
  <si>
    <t>CON-02</t>
  </si>
  <si>
    <t>Rafter ridge splice</t>
  </si>
  <si>
    <t>Verify bolt bearing, net section, block shear and slip where required</t>
  </si>
  <si>
    <t>CON-03</t>
  </si>
  <si>
    <t>Base plate / anchors</t>
  </si>
  <si>
    <t>Anchor tension/shear, concrete breakout and base plate bending require detailed design</t>
  </si>
  <si>
    <t>CON-04</t>
  </si>
  <si>
    <t>Bracing gusset</t>
  </si>
  <si>
    <t>Check gusset Whitmore section, block shear and welds</t>
  </si>
  <si>
    <t>ISOLATED FOOTING PRELIMINARY DESIGN — SANS 10100-1</t>
  </si>
  <si>
    <t>Formula / input</t>
  </si>
  <si>
    <t>Service axial load</t>
  </si>
  <si>
    <t>Frame reaction input</t>
  </si>
  <si>
    <t>Service moment</t>
  </si>
  <si>
    <t>kNm</t>
  </si>
  <si>
    <t>Service horizontal</t>
  </si>
  <si>
    <t>Footing length</t>
  </si>
  <si>
    <t>Trial dimension</t>
  </si>
  <si>
    <t>Footing width</t>
  </si>
  <si>
    <t>Footing thickness</t>
  </si>
  <si>
    <t>Self-weight footing</t>
  </si>
  <si>
    <t>L×B×t×γc</t>
  </si>
  <si>
    <t>Service bearing area</t>
  </si>
  <si>
    <t>m²</t>
  </si>
  <si>
    <t>L×B</t>
  </si>
  <si>
    <t>Total service N</t>
  </si>
  <si>
    <t>N + footing self-weight</t>
  </si>
  <si>
    <t>Eccentricity</t>
  </si>
  <si>
    <t>M/N</t>
  </si>
  <si>
    <t>qmax</t>
  </si>
  <si>
    <t>N/A × (1+6e/L)</t>
  </si>
  <si>
    <t>qmin</t>
  </si>
  <si>
    <t>N/A × (1-6e/L)</t>
  </si>
  <si>
    <t>Bearing utilisation</t>
  </si>
  <si>
    <t>ratio</t>
  </si>
  <si>
    <t>qmax/qallow</t>
  </si>
  <si>
    <t>Sliding resistance</t>
  </si>
  <si>
    <t>N μ</t>
  </si>
  <si>
    <t>Sliding utilisation</t>
  </si>
  <si>
    <t>H/R</t>
  </si>
  <si>
    <t>Overturning resistance</t>
  </si>
  <si>
    <t>N×B/2; simplified</t>
  </si>
  <si>
    <t>Overturning utilisation</t>
  </si>
  <si>
    <t>M/R</t>
  </si>
  <si>
    <t>MASONRY INFILL WALL SCREENING — SANS 10164 INTERFACE</t>
  </si>
  <si>
    <t>Result</t>
  </si>
  <si>
    <t>Limit</t>
  </si>
  <si>
    <t>Utilisation</t>
  </si>
  <si>
    <t>Wall thickness</t>
  </si>
  <si>
    <t>SANS 10164</t>
  </si>
  <si>
    <t>Typical 140 mm infill</t>
  </si>
  <si>
    <t>Wall clear height</t>
  </si>
  <si>
    <t>Editable</t>
  </si>
  <si>
    <t>Wall panel width</t>
  </si>
  <si>
    <t>Masonry density</t>
  </si>
  <si>
    <t>Characteristic masonry strength fk</t>
  </si>
  <si>
    <t>Verify unit/mortar combination</t>
  </si>
  <si>
    <t>Wind pressure</t>
  </si>
  <si>
    <t>Wind envelope</t>
  </si>
  <si>
    <t>Bending moment coefficient</t>
  </si>
  <si>
    <t>Simply-supported strip screening</t>
  </si>
  <si>
    <t>Engineering screening</t>
  </si>
  <si>
    <t>Detailed wall coefficients to be verified</t>
  </si>
  <si>
    <t>M per m width</t>
  </si>
  <si>
    <t>kNm/m</t>
  </si>
  <si>
    <t>c·w·h²</t>
  </si>
  <si>
    <t>Screening</t>
  </si>
  <si>
    <t>Section modulus per m</t>
  </si>
  <si>
    <t>m³/m</t>
  </si>
  <si>
    <t>t²/6</t>
  </si>
  <si>
    <t>SANS 10164 interface</t>
  </si>
  <si>
    <t>Bending stress</t>
  </si>
  <si>
    <t>M/Z</t>
  </si>
  <si>
    <t>Slenderness h/t</t>
  </si>
  <si>
    <t>h/t</t>
  </si>
  <si>
    <t>Indicative allowable stress</t>
  </si>
  <si>
    <t>Conservative screening factor × fk</t>
  </si>
  <si>
    <t>Screening only</t>
  </si>
  <si>
    <t>Replace with full code capacity</t>
  </si>
  <si>
    <t>ENGINEERING QA / HOLD POINTS BEFORE TENDER</t>
  </si>
  <si>
    <t>Check</t>
  </si>
  <si>
    <t>Video/project geometry confirmed</t>
  </si>
  <si>
    <t>Geotechnical report available</t>
  </si>
  <si>
    <t>Wind terrain/topography confirmed</t>
  </si>
  <si>
    <t>2D/3D frame analysis completed</t>
  </si>
  <si>
    <t>Section properties verified</t>
  </si>
  <si>
    <t>Lateral restraint / purlin bracing verified</t>
  </si>
  <si>
    <t>All steel connections designed</t>
  </si>
  <si>
    <t>Foundation design completed</t>
  </si>
  <si>
    <t>Masonry wall design completed</t>
  </si>
  <si>
    <t>Doors/windows/wall interfaces coordinated</t>
  </si>
  <si>
    <t>Fire / corrosion protection confirmed</t>
  </si>
  <si>
    <t>Tender drawings checked and signed</t>
  </si>
  <si>
    <t>FORMULA REGISTER</t>
  </si>
  <si>
    <t>Formula / implementation</t>
  </si>
  <si>
    <t>Basic wind speed</t>
  </si>
  <si>
    <t>vb = cprob × vb,0 — SANS 10160-3:2019 7.2.2, Eq. 1</t>
  </si>
  <si>
    <t>Peak wind speed</t>
  </si>
  <si>
    <t>vp(z) = cr(z) × c0(z) × vb — SANS 10160-3:2019 7.3.1, Eq. 3</t>
  </si>
  <si>
    <t>Peak wind pressure</t>
  </si>
  <si>
    <t>qp(z) = 0.5 ρ vp² — SANS 10160-3:2019 7.4, Eq. 6</t>
  </si>
  <si>
    <t>we = qp × cpe; wi = qp × cpi — SANS 10160-3:2019 7.5 / 8.3</t>
  </si>
  <si>
    <t>Roof H2 imposed load</t>
  </si>
  <si>
    <t>qk = 0.25 kPa for loaded area ≥15 m²; separate Qk = 1.0 kN check — SANS 10160-2:2011 Table 5</t>
  </si>
  <si>
    <t>ULS STR actions</t>
  </si>
  <si>
    <t>Permanent and variable action factors from SANS 10160-1:2011 Table 3; exact combination must be checked for the governing effect.</t>
  </si>
  <si>
    <t>Steel tension</t>
  </si>
  <si>
    <t>Tr = φ Ag fy — SANS 10162-1:2011 13.2; connected/net-section checks also required.</t>
  </si>
  <si>
    <t>Steel compression</t>
  </si>
  <si>
    <t>Cr = φ A fy (1+λ²n)^(-1/n), λ = sqrt(fy/fe), fe = π²E/(KL/r)² — SANS 10162-1:2011 13.3.1.</t>
  </si>
  <si>
    <t>Steel bending, laterally supported</t>
  </si>
  <si>
    <t>Mr = φ Zpl fy for Class 1/2 or φ Ze fy for Class 3 — SANS 10162-1:2011 13.5.</t>
  </si>
  <si>
    <t>Steel shear</t>
  </si>
  <si>
    <t>Vr = φ Av fs, with web slenderness / buckling provisions — SANS 10162-1:2011 13.4.</t>
  </si>
  <si>
    <t>Steel combined actions</t>
  </si>
  <si>
    <t>Interaction of axial force and bending is required — SANS 10162-1:2011 13.8 / 13.9.</t>
  </si>
  <si>
    <t>Foundation bearing</t>
  </si>
  <si>
    <t>qmax/min = N/A × (1 ± 6e/B) for linear pressure distribution, with e = M/N; detailed geotechnical design required.</t>
  </si>
  <si>
    <t>Foundation concrete</t>
  </si>
  <si>
    <t>Complete flexure, one-way shear, punching, anchorage and minimum reinforcement to SANS 10100-1.</t>
  </si>
  <si>
    <t xml:space="preserve">DURBAN KZN WAREHOUSE — PRELIMINARY SCOPE OF DESIGN </t>
  </si>
  <si>
    <t>PASS</t>
  </si>
  <si>
    <t xml:space="preserve">Check done 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</si>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</sst>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9C650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EF5FA"/>
      </patternFill>
    </fill>
    <fill>
      <patternFill patternType="solid">
        <fgColor rgb="FFEEF5FA"/>
        <bgColor rgb="FFFFFFFF"/>
      </patternFill>
    </fill>
    <fill>
      <patternFill patternType="solid">
        <fgColor rgb="FF92D050"/>
        <bgColor rgb="FFCCCC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right" vertical="top" wrapText="1"/>
    </xf>
    <xf numFmtId="0" fontId="0" fillId="5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2CC"/>
      <rgbColor rgb="FFEE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5" customHeight="1" x14ac:dyDescent="0.3"/>
  <cols>
    <col min="1" max="1" width="28" style="1" customWidth="1"/>
    <col min="2" max="2" width="95" style="1" customWidth="1"/>
  </cols>
  <sheetData>
    <row r="1" spans="1:2" ht="17.25" customHeight="1" x14ac:dyDescent="0.3">
      <c r="A1" s="15" t="s">
        <v>429</v>
      </c>
      <c r="B1" s="15"/>
    </row>
    <row r="3" spans="1:2" ht="15" customHeight="1" x14ac:dyDescent="0.3">
      <c r="A3" s="2" t="s">
        <v>0</v>
      </c>
      <c r="B3" s="2" t="s">
        <v>1</v>
      </c>
    </row>
    <row r="4" spans="1:2" ht="27.75" customHeight="1" x14ac:dyDescent="0.3">
      <c r="A4" s="3" t="s">
        <v>2</v>
      </c>
      <c r="B4" s="4" t="s">
        <v>3</v>
      </c>
    </row>
    <row r="5" spans="1:2" ht="27.75" customHeight="1" x14ac:dyDescent="0.3">
      <c r="A5" s="3" t="s">
        <v>4</v>
      </c>
      <c r="B5" s="4" t="s">
        <v>5</v>
      </c>
    </row>
    <row r="6" spans="1:2" ht="27.75" customHeight="1" x14ac:dyDescent="0.3">
      <c r="A6" s="3" t="s">
        <v>6</v>
      </c>
      <c r="B6" s="4" t="s">
        <v>7</v>
      </c>
    </row>
    <row r="7" spans="1:2" ht="27.75" customHeight="1" x14ac:dyDescent="0.3">
      <c r="A7" s="3" t="s">
        <v>8</v>
      </c>
      <c r="B7" s="4" t="s">
        <v>9</v>
      </c>
    </row>
    <row r="8" spans="1:2" ht="27.75" customHeight="1" x14ac:dyDescent="0.3">
      <c r="A8" s="3" t="s">
        <v>10</v>
      </c>
      <c r="B8" s="4" t="s">
        <v>11</v>
      </c>
    </row>
    <row r="9" spans="1:2" ht="27.75" customHeight="1" x14ac:dyDescent="0.3">
      <c r="A9" s="3" t="s">
        <v>12</v>
      </c>
      <c r="B9" s="4" t="s">
        <v>13</v>
      </c>
    </row>
    <row r="10" spans="1:2" ht="27.75" customHeight="1" x14ac:dyDescent="0.3">
      <c r="A10" s="3" t="s">
        <v>14</v>
      </c>
      <c r="B10" s="4" t="s">
        <v>15</v>
      </c>
    </row>
    <row r="11" spans="1:2" ht="27.75" customHeight="1" x14ac:dyDescent="0.3">
      <c r="A11" s="3" t="s">
        <v>16</v>
      </c>
      <c r="B11" s="4" t="s">
        <v>17</v>
      </c>
    </row>
    <row r="12" spans="1:2" ht="48" customHeight="1" x14ac:dyDescent="0.3">
      <c r="A12" s="3" t="s">
        <v>18</v>
      </c>
      <c r="B12" s="4" t="s">
        <v>19</v>
      </c>
    </row>
    <row r="13" spans="1:2" ht="28.8" x14ac:dyDescent="0.3">
      <c r="A13" s="5" t="s">
        <v>20</v>
      </c>
      <c r="B13" s="12" t="s">
        <v>21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showGridLines="0" zoomScaleNormal="100" workbookViewId="0">
      <pane ySplit="1" topLeftCell="A2" activePane="bottomLeft" state="frozen"/>
      <selection pane="bottomLeft" activeCell="B10" sqref="B10"/>
    </sheetView>
  </sheetViews>
  <sheetFormatPr defaultColWidth="8.6640625" defaultRowHeight="15" customHeight="1" x14ac:dyDescent="0.3"/>
  <cols>
    <col min="1" max="1" width="34" style="1" customWidth="1"/>
    <col min="2" max="2" width="18" style="1" customWidth="1"/>
    <col min="3" max="3" width="22" style="1" customWidth="1"/>
    <col min="4" max="4" width="55" style="1" customWidth="1"/>
  </cols>
  <sheetData>
    <row r="1" spans="1:4" ht="17.25" customHeight="1" x14ac:dyDescent="0.3">
      <c r="A1" s="15" t="s">
        <v>22</v>
      </c>
      <c r="B1" s="15"/>
      <c r="C1" s="15"/>
      <c r="D1" s="15"/>
    </row>
    <row r="3" spans="1:4" ht="15" customHeight="1" x14ac:dyDescent="0.3">
      <c r="A3" s="2" t="s">
        <v>23</v>
      </c>
      <c r="B3" s="2" t="s">
        <v>24</v>
      </c>
      <c r="C3" s="2" t="s">
        <v>25</v>
      </c>
      <c r="D3" s="2" t="s">
        <v>26</v>
      </c>
    </row>
    <row r="4" spans="1:4" ht="15" customHeight="1" x14ac:dyDescent="0.3">
      <c r="A4" s="4" t="s">
        <v>27</v>
      </c>
      <c r="B4" s="6">
        <v>48</v>
      </c>
      <c r="C4" s="4" t="s">
        <v>28</v>
      </c>
      <c r="D4" s="4" t="s">
        <v>29</v>
      </c>
    </row>
    <row r="5" spans="1:4" ht="15" customHeight="1" x14ac:dyDescent="0.3">
      <c r="A5" s="4" t="s">
        <v>30</v>
      </c>
      <c r="B5" s="6">
        <v>24</v>
      </c>
      <c r="C5" s="4" t="s">
        <v>28</v>
      </c>
      <c r="D5" s="4" t="s">
        <v>29</v>
      </c>
    </row>
    <row r="6" spans="1:4" ht="15" customHeight="1" x14ac:dyDescent="0.3">
      <c r="A6" s="4" t="s">
        <v>31</v>
      </c>
      <c r="B6" s="6">
        <v>8</v>
      </c>
      <c r="C6" s="4" t="s">
        <v>28</v>
      </c>
      <c r="D6" s="4" t="s">
        <v>29</v>
      </c>
    </row>
    <row r="7" spans="1:4" ht="15" customHeight="1" x14ac:dyDescent="0.3">
      <c r="A7" s="4" t="s">
        <v>32</v>
      </c>
      <c r="B7" s="6">
        <v>10</v>
      </c>
      <c r="C7" s="4" t="s">
        <v>28</v>
      </c>
      <c r="D7" s="4" t="s">
        <v>29</v>
      </c>
    </row>
    <row r="8" spans="1:4" ht="15" customHeight="1" x14ac:dyDescent="0.3">
      <c r="A8" s="4" t="s">
        <v>33</v>
      </c>
      <c r="B8" s="6">
        <v>6</v>
      </c>
      <c r="C8" s="4" t="s">
        <v>28</v>
      </c>
      <c r="D8" s="4" t="s">
        <v>29</v>
      </c>
    </row>
    <row r="9" spans="1:4" ht="15" customHeight="1" x14ac:dyDescent="0.3">
      <c r="A9" s="4" t="s">
        <v>34</v>
      </c>
      <c r="B9" s="7">
        <f>B4/B8</f>
        <v>8</v>
      </c>
      <c r="C9" s="4" t="s">
        <v>35</v>
      </c>
      <c r="D9" s="4" t="s">
        <v>36</v>
      </c>
    </row>
    <row r="10" spans="1:4" ht="15" customHeight="1" x14ac:dyDescent="0.3">
      <c r="A10" s="4" t="s">
        <v>37</v>
      </c>
      <c r="B10" s="7">
        <f>DEGREES(ATAN((B7-B6)/(B5/2)))</f>
        <v>9.4623222080256166</v>
      </c>
      <c r="C10" s="4" t="s">
        <v>38</v>
      </c>
      <c r="D10" s="4" t="s">
        <v>39</v>
      </c>
    </row>
    <row r="11" spans="1:4" ht="15" customHeight="1" x14ac:dyDescent="0.3">
      <c r="A11" s="4" t="s">
        <v>40</v>
      </c>
      <c r="B11" s="6">
        <v>355</v>
      </c>
      <c r="C11" s="4" t="s">
        <v>41</v>
      </c>
      <c r="D11" s="4" t="s">
        <v>42</v>
      </c>
    </row>
    <row r="12" spans="1:4" ht="15" customHeight="1" x14ac:dyDescent="0.3">
      <c r="A12" s="4" t="s">
        <v>43</v>
      </c>
      <c r="B12" s="6">
        <v>200000</v>
      </c>
      <c r="C12" s="4" t="s">
        <v>41</v>
      </c>
      <c r="D12" s="4" t="s">
        <v>44</v>
      </c>
    </row>
    <row r="13" spans="1:4" ht="15" customHeight="1" x14ac:dyDescent="0.3">
      <c r="A13" s="4" t="s">
        <v>45</v>
      </c>
      <c r="B13" s="6">
        <v>78.5</v>
      </c>
      <c r="C13" s="4" t="s">
        <v>46</v>
      </c>
      <c r="D13" s="4" t="s">
        <v>47</v>
      </c>
    </row>
    <row r="14" spans="1:4" ht="15" customHeight="1" x14ac:dyDescent="0.3">
      <c r="A14" s="4" t="s">
        <v>48</v>
      </c>
      <c r="B14" s="6">
        <v>30</v>
      </c>
      <c r="C14" s="4" t="s">
        <v>41</v>
      </c>
      <c r="D14" s="4" t="s">
        <v>49</v>
      </c>
    </row>
    <row r="15" spans="1:4" ht="15" customHeight="1" x14ac:dyDescent="0.3">
      <c r="A15" s="4" t="s">
        <v>50</v>
      </c>
      <c r="B15" s="6">
        <v>450</v>
      </c>
      <c r="C15" s="4" t="s">
        <v>41</v>
      </c>
      <c r="D15" s="4" t="s">
        <v>51</v>
      </c>
    </row>
    <row r="16" spans="1:4" ht="15" customHeight="1" x14ac:dyDescent="0.3">
      <c r="A16" s="4" t="s">
        <v>52</v>
      </c>
      <c r="B16" s="6">
        <v>24</v>
      </c>
      <c r="C16" s="4" t="s">
        <v>46</v>
      </c>
      <c r="D16" s="4" t="s">
        <v>53</v>
      </c>
    </row>
    <row r="17" spans="1:4" ht="15" customHeight="1" x14ac:dyDescent="0.3">
      <c r="A17" s="4" t="s">
        <v>54</v>
      </c>
      <c r="B17" s="6">
        <v>0.15</v>
      </c>
      <c r="C17" s="4" t="s">
        <v>55</v>
      </c>
      <c r="D17" s="4" t="s">
        <v>56</v>
      </c>
    </row>
    <row r="18" spans="1:4" ht="15" customHeight="1" x14ac:dyDescent="0.3">
      <c r="A18" s="4" t="s">
        <v>57</v>
      </c>
      <c r="B18" s="6">
        <v>0.12</v>
      </c>
      <c r="C18" s="4" t="s">
        <v>55</v>
      </c>
      <c r="D18" s="4" t="s">
        <v>58</v>
      </c>
    </row>
    <row r="19" spans="1:4" ht="15" customHeight="1" x14ac:dyDescent="0.3">
      <c r="A19" s="4" t="s">
        <v>59</v>
      </c>
      <c r="B19" s="6">
        <v>0.1</v>
      </c>
      <c r="C19" s="4" t="s">
        <v>55</v>
      </c>
      <c r="D19" s="4" t="s">
        <v>58</v>
      </c>
    </row>
    <row r="20" spans="1:4" ht="15" customHeight="1" x14ac:dyDescent="0.3">
      <c r="A20" s="4" t="s">
        <v>60</v>
      </c>
      <c r="B20" s="6">
        <v>0.25</v>
      </c>
      <c r="C20" s="4" t="s">
        <v>55</v>
      </c>
      <c r="D20" s="4" t="s">
        <v>61</v>
      </c>
    </row>
    <row r="21" spans="1:4" ht="15" customHeight="1" x14ac:dyDescent="0.3">
      <c r="A21" s="4" t="s">
        <v>62</v>
      </c>
      <c r="B21" s="6">
        <v>1</v>
      </c>
      <c r="C21" s="4" t="s">
        <v>63</v>
      </c>
      <c r="D21" s="4" t="s">
        <v>64</v>
      </c>
    </row>
    <row r="22" spans="1:4" ht="15" customHeight="1" x14ac:dyDescent="0.3">
      <c r="A22" s="4" t="s">
        <v>65</v>
      </c>
      <c r="B22" s="6">
        <v>36</v>
      </c>
      <c r="C22" s="4" t="s">
        <v>66</v>
      </c>
      <c r="D22" s="4" t="s">
        <v>67</v>
      </c>
    </row>
    <row r="23" spans="1:4" ht="15" customHeight="1" x14ac:dyDescent="0.3">
      <c r="A23" s="4" t="s">
        <v>68</v>
      </c>
      <c r="B23" s="13" t="s">
        <v>69</v>
      </c>
      <c r="C23" s="4"/>
      <c r="D23" s="4" t="s">
        <v>70</v>
      </c>
    </row>
    <row r="24" spans="1:4" ht="15" customHeight="1" x14ac:dyDescent="0.3">
      <c r="A24" s="4" t="s">
        <v>71</v>
      </c>
      <c r="B24" s="6">
        <v>0</v>
      </c>
      <c r="C24" s="4" t="s">
        <v>28</v>
      </c>
      <c r="D24" s="4" t="s">
        <v>72</v>
      </c>
    </row>
    <row r="25" spans="1:4" ht="15" customHeight="1" x14ac:dyDescent="0.3">
      <c r="A25" s="4" t="s">
        <v>73</v>
      </c>
      <c r="B25" s="6">
        <v>1.2</v>
      </c>
      <c r="C25" s="4" t="s">
        <v>74</v>
      </c>
      <c r="D25" s="4" t="s">
        <v>75</v>
      </c>
    </row>
    <row r="26" spans="1:4" ht="15" customHeight="1" x14ac:dyDescent="0.3">
      <c r="A26" s="4" t="s">
        <v>76</v>
      </c>
      <c r="B26" s="6">
        <v>1</v>
      </c>
      <c r="C26" s="4"/>
      <c r="D26" s="4" t="s">
        <v>77</v>
      </c>
    </row>
    <row r="27" spans="1:4" ht="15" customHeight="1" x14ac:dyDescent="0.3">
      <c r="A27" s="4" t="s">
        <v>78</v>
      </c>
      <c r="B27" s="6">
        <v>0.2</v>
      </c>
      <c r="C27" s="4"/>
      <c r="D27" s="4" t="s">
        <v>79</v>
      </c>
    </row>
    <row r="28" spans="1:4" ht="15" customHeight="1" x14ac:dyDescent="0.3">
      <c r="A28" s="4" t="s">
        <v>80</v>
      </c>
      <c r="B28" s="6">
        <v>-0.3</v>
      </c>
      <c r="C28" s="4"/>
      <c r="D28" s="4" t="s">
        <v>79</v>
      </c>
    </row>
    <row r="29" spans="1:4" ht="15" customHeight="1" x14ac:dyDescent="0.3">
      <c r="A29" s="4" t="s">
        <v>81</v>
      </c>
      <c r="B29" s="6">
        <v>0.8</v>
      </c>
      <c r="C29" s="4"/>
      <c r="D29" s="4" t="s">
        <v>82</v>
      </c>
    </row>
    <row r="30" spans="1:4" ht="15" customHeight="1" x14ac:dyDescent="0.3">
      <c r="A30" s="4" t="s">
        <v>83</v>
      </c>
      <c r="B30" s="6">
        <v>-0.5</v>
      </c>
      <c r="C30" s="4"/>
      <c r="D30" s="4" t="s">
        <v>82</v>
      </c>
    </row>
    <row r="31" spans="1:4" ht="15" customHeight="1" x14ac:dyDescent="0.3">
      <c r="A31" s="4" t="s">
        <v>84</v>
      </c>
      <c r="B31" s="6">
        <v>-1</v>
      </c>
      <c r="C31" s="4"/>
      <c r="D31" s="4" t="s">
        <v>85</v>
      </c>
    </row>
    <row r="32" spans="1:4" ht="15" customHeight="1" x14ac:dyDescent="0.3">
      <c r="A32" s="4" t="s">
        <v>86</v>
      </c>
      <c r="B32" s="6">
        <v>-0.2</v>
      </c>
      <c r="C32" s="4"/>
      <c r="D32" s="4" t="s">
        <v>85</v>
      </c>
    </row>
    <row r="33" spans="1:4" ht="15" customHeight="1" x14ac:dyDescent="0.3">
      <c r="A33" s="4" t="s">
        <v>87</v>
      </c>
      <c r="B33" s="6">
        <v>1.2</v>
      </c>
      <c r="C33" s="4"/>
      <c r="D33" s="4" t="s">
        <v>88</v>
      </c>
    </row>
    <row r="34" spans="1:4" ht="15" customHeight="1" x14ac:dyDescent="0.3">
      <c r="A34" s="4" t="s">
        <v>89</v>
      </c>
      <c r="B34" s="6">
        <v>1.6</v>
      </c>
      <c r="C34" s="4"/>
      <c r="D34" s="4" t="s">
        <v>90</v>
      </c>
    </row>
    <row r="35" spans="1:4" ht="15" customHeight="1" x14ac:dyDescent="0.3">
      <c r="A35" s="4" t="s">
        <v>91</v>
      </c>
      <c r="B35" s="6">
        <v>1.3</v>
      </c>
      <c r="C35" s="4"/>
      <c r="D35" s="4" t="s">
        <v>92</v>
      </c>
    </row>
    <row r="36" spans="1:4" ht="15" customHeight="1" x14ac:dyDescent="0.3">
      <c r="A36" s="4" t="s">
        <v>93</v>
      </c>
      <c r="B36" s="6">
        <v>1</v>
      </c>
      <c r="C36" s="4"/>
      <c r="D36" s="4" t="s">
        <v>94</v>
      </c>
    </row>
    <row r="37" spans="1:4" ht="15" customHeight="1" x14ac:dyDescent="0.3">
      <c r="A37" s="4" t="s">
        <v>95</v>
      </c>
      <c r="B37" s="6">
        <v>1.2</v>
      </c>
      <c r="C37" s="4" t="s">
        <v>28</v>
      </c>
      <c r="D37" s="4" t="s">
        <v>96</v>
      </c>
    </row>
    <row r="38" spans="1:4" ht="15" customHeight="1" x14ac:dyDescent="0.3">
      <c r="A38" s="4" t="s">
        <v>97</v>
      </c>
      <c r="B38" s="6">
        <v>150</v>
      </c>
      <c r="C38" s="4" t="s">
        <v>55</v>
      </c>
      <c r="D38" s="4" t="s">
        <v>98</v>
      </c>
    </row>
    <row r="39" spans="1:4" ht="15" customHeight="1" x14ac:dyDescent="0.3">
      <c r="A39" s="4" t="s">
        <v>99</v>
      </c>
      <c r="B39" s="6">
        <v>18</v>
      </c>
      <c r="C39" s="4" t="s">
        <v>46</v>
      </c>
      <c r="D39" s="4" t="s">
        <v>100</v>
      </c>
    </row>
    <row r="40" spans="1:4" ht="15" customHeight="1" x14ac:dyDescent="0.3">
      <c r="A40" s="4" t="s">
        <v>101</v>
      </c>
      <c r="B40" s="6">
        <v>0.45</v>
      </c>
      <c r="C40" s="4"/>
      <c r="D40" s="4" t="s">
        <v>100</v>
      </c>
    </row>
    <row r="41" spans="1:4" ht="15" customHeight="1" x14ac:dyDescent="0.3">
      <c r="A41" s="4" t="s">
        <v>102</v>
      </c>
      <c r="B41" s="6">
        <v>50</v>
      </c>
      <c r="C41" s="4" t="s">
        <v>103</v>
      </c>
      <c r="D41" s="4" t="s">
        <v>104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zoomScaleNormal="100" workbookViewId="0">
      <pane ySplit="1" topLeftCell="A2" activePane="bottomLeft" state="frozen"/>
      <selection pane="bottomLeft" activeCell="F16" sqref="F16"/>
    </sheetView>
  </sheetViews>
  <sheetFormatPr defaultColWidth="8.6640625" defaultRowHeight="15" customHeight="1" x14ac:dyDescent="0.3"/>
  <cols>
    <col min="1" max="1" width="24" style="1" customWidth="1"/>
    <col min="2" max="2" width="25" style="1" customWidth="1"/>
    <col min="3" max="3" width="42" style="1" customWidth="1"/>
    <col min="4" max="4" width="65" style="1" customWidth="1"/>
  </cols>
  <sheetData>
    <row r="1" spans="1:4" ht="17.25" customHeight="1" x14ac:dyDescent="0.3">
      <c r="A1" s="15" t="s">
        <v>105</v>
      </c>
      <c r="B1" s="15"/>
      <c r="C1" s="15"/>
      <c r="D1" s="15"/>
    </row>
    <row r="3" spans="1:4" ht="15" customHeight="1" x14ac:dyDescent="0.3">
      <c r="A3" s="2" t="s">
        <v>106</v>
      </c>
      <c r="B3" s="2" t="s">
        <v>107</v>
      </c>
      <c r="C3" s="2" t="s">
        <v>108</v>
      </c>
      <c r="D3" s="2" t="s">
        <v>109</v>
      </c>
    </row>
    <row r="4" spans="1:4" ht="15" customHeight="1" x14ac:dyDescent="0.3">
      <c r="A4" s="4" t="s">
        <v>110</v>
      </c>
      <c r="B4" s="4" t="s">
        <v>111</v>
      </c>
      <c r="C4" s="4" t="s">
        <v>112</v>
      </c>
      <c r="D4" s="4" t="s">
        <v>113</v>
      </c>
    </row>
    <row r="5" spans="1:4" ht="15" customHeight="1" x14ac:dyDescent="0.3">
      <c r="A5" s="4" t="s">
        <v>114</v>
      </c>
      <c r="B5" s="4" t="s">
        <v>111</v>
      </c>
      <c r="C5" s="4" t="s">
        <v>115</v>
      </c>
      <c r="D5" s="4" t="s">
        <v>116</v>
      </c>
    </row>
    <row r="6" spans="1:4" ht="15" customHeight="1" x14ac:dyDescent="0.3">
      <c r="A6" s="4" t="s">
        <v>117</v>
      </c>
      <c r="B6" s="4" t="s">
        <v>118</v>
      </c>
      <c r="C6" s="4" t="s">
        <v>119</v>
      </c>
      <c r="D6" s="4" t="s">
        <v>120</v>
      </c>
    </row>
    <row r="7" spans="1:4" ht="15" customHeight="1" x14ac:dyDescent="0.3">
      <c r="A7" s="4" t="s">
        <v>121</v>
      </c>
      <c r="B7" s="4" t="s">
        <v>122</v>
      </c>
      <c r="C7" s="4" t="s">
        <v>123</v>
      </c>
      <c r="D7" s="4" t="s">
        <v>124</v>
      </c>
    </row>
    <row r="8" spans="1:4" ht="27.75" customHeight="1" x14ac:dyDescent="0.3">
      <c r="A8" s="4" t="s">
        <v>125</v>
      </c>
      <c r="B8" s="4" t="s">
        <v>126</v>
      </c>
      <c r="C8" s="4" t="s">
        <v>127</v>
      </c>
      <c r="D8" s="4" t="s">
        <v>128</v>
      </c>
    </row>
    <row r="9" spans="1:4" ht="27.75" customHeight="1" x14ac:dyDescent="0.3">
      <c r="A9" s="4" t="s">
        <v>129</v>
      </c>
      <c r="B9" s="4" t="s">
        <v>130</v>
      </c>
      <c r="C9" s="4" t="s">
        <v>131</v>
      </c>
      <c r="D9" s="4" t="s">
        <v>132</v>
      </c>
    </row>
    <row r="10" spans="1:4" ht="27.75" customHeight="1" x14ac:dyDescent="0.3">
      <c r="A10" s="4" t="s">
        <v>133</v>
      </c>
      <c r="B10" s="4" t="s">
        <v>126</v>
      </c>
      <c r="C10" s="4" t="s">
        <v>134</v>
      </c>
      <c r="D10" s="4" t="s">
        <v>135</v>
      </c>
    </row>
    <row r="11" spans="1:4" ht="15" customHeight="1" x14ac:dyDescent="0.3">
      <c r="A11" s="4" t="s">
        <v>136</v>
      </c>
      <c r="B11" s="4" t="s">
        <v>137</v>
      </c>
      <c r="C11" s="4" t="s">
        <v>138</v>
      </c>
      <c r="D11" s="4" t="s">
        <v>139</v>
      </c>
    </row>
    <row r="12" spans="1:4" ht="15" customHeight="1" x14ac:dyDescent="0.3">
      <c r="A12" s="4" t="s">
        <v>140</v>
      </c>
      <c r="B12" s="4" t="s">
        <v>141</v>
      </c>
      <c r="C12" s="4" t="s">
        <v>142</v>
      </c>
      <c r="D12" s="4" t="s">
        <v>143</v>
      </c>
    </row>
    <row r="13" spans="1:4" ht="27.75" customHeight="1" x14ac:dyDescent="0.3">
      <c r="A13" s="4" t="s">
        <v>144</v>
      </c>
      <c r="B13" s="4" t="s">
        <v>145</v>
      </c>
      <c r="C13" s="4" t="s">
        <v>146</v>
      </c>
      <c r="D13" s="4" t="s">
        <v>147</v>
      </c>
    </row>
    <row r="14" spans="1:4" ht="15" customHeight="1" x14ac:dyDescent="0.3">
      <c r="A14" s="4" t="s">
        <v>148</v>
      </c>
      <c r="B14" s="4" t="s">
        <v>149</v>
      </c>
      <c r="C14" s="4" t="s">
        <v>150</v>
      </c>
      <c r="D14" s="4" t="s">
        <v>151</v>
      </c>
    </row>
    <row r="15" spans="1:4" ht="15" customHeight="1" x14ac:dyDescent="0.3">
      <c r="A15" s="4" t="s">
        <v>152</v>
      </c>
      <c r="B15" s="4" t="s">
        <v>153</v>
      </c>
      <c r="C15" s="4" t="s">
        <v>154</v>
      </c>
      <c r="D15" s="4" t="s">
        <v>155</v>
      </c>
    </row>
    <row r="16" spans="1:4" ht="27.75" customHeight="1" x14ac:dyDescent="0.3">
      <c r="A16" s="4" t="s">
        <v>156</v>
      </c>
      <c r="B16" s="4" t="s">
        <v>157</v>
      </c>
      <c r="C16" s="4" t="s">
        <v>158</v>
      </c>
      <c r="D16" s="4" t="s">
        <v>159</v>
      </c>
    </row>
    <row r="17" spans="1:4" ht="27.75" customHeight="1" x14ac:dyDescent="0.3">
      <c r="A17" s="4" t="s">
        <v>160</v>
      </c>
      <c r="B17" s="4" t="s">
        <v>157</v>
      </c>
      <c r="C17" s="4" t="s">
        <v>161</v>
      </c>
      <c r="D17" s="4" t="s">
        <v>162</v>
      </c>
    </row>
    <row r="18" spans="1:4" ht="27.75" customHeight="1" x14ac:dyDescent="0.3">
      <c r="A18" s="4" t="s">
        <v>163</v>
      </c>
      <c r="B18" s="4" t="s">
        <v>157</v>
      </c>
      <c r="C18" s="4" t="s">
        <v>164</v>
      </c>
      <c r="D18" s="4" t="s">
        <v>165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ignoredErrors>
    <ignoredError sqref="B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zoomScaleNormal="100" workbookViewId="0">
      <pane ySplit="1" topLeftCell="A2" activePane="bottomLeft" state="frozen"/>
      <selection pane="bottomLeft" sqref="A1:E1"/>
    </sheetView>
  </sheetViews>
  <sheetFormatPr defaultColWidth="8.6640625" defaultRowHeight="15" customHeight="1" x14ac:dyDescent="0.3"/>
  <cols>
    <col min="1" max="1" width="34" style="1" customWidth="1"/>
    <col min="2" max="3" width="18" style="1" customWidth="1"/>
    <col min="4" max="4" width="20" style="1" customWidth="1"/>
    <col min="5" max="5" width="55" style="1" customWidth="1"/>
  </cols>
  <sheetData>
    <row r="1" spans="1:5" ht="17.25" customHeight="1" x14ac:dyDescent="0.3">
      <c r="A1" s="15" t="s">
        <v>166</v>
      </c>
      <c r="B1" s="15"/>
      <c r="C1" s="15"/>
      <c r="D1" s="15"/>
      <c r="E1" s="15"/>
    </row>
    <row r="3" spans="1:5" ht="15" customHeight="1" x14ac:dyDescent="0.3">
      <c r="A3" s="2" t="s">
        <v>167</v>
      </c>
      <c r="B3" s="2" t="s">
        <v>24</v>
      </c>
      <c r="C3" s="2" t="s">
        <v>25</v>
      </c>
      <c r="D3" s="2" t="s">
        <v>168</v>
      </c>
      <c r="E3" s="2" t="s">
        <v>169</v>
      </c>
    </row>
    <row r="4" spans="1:5" ht="15" customHeight="1" x14ac:dyDescent="0.3">
      <c r="A4" s="4" t="s">
        <v>170</v>
      </c>
      <c r="B4" s="8">
        <f>Inputs!B17</f>
        <v>0.15</v>
      </c>
      <c r="C4" s="4" t="s">
        <v>55</v>
      </c>
      <c r="D4" s="4">
        <f>B4*Inputs!B8</f>
        <v>0.89999999999999991</v>
      </c>
      <c r="E4" s="4" t="s">
        <v>171</v>
      </c>
    </row>
    <row r="5" spans="1:5" ht="15" customHeight="1" x14ac:dyDescent="0.3">
      <c r="A5" s="4" t="s">
        <v>172</v>
      </c>
      <c r="B5" s="8">
        <f>Inputs!B18</f>
        <v>0.12</v>
      </c>
      <c r="C5" s="4" t="s">
        <v>55</v>
      </c>
      <c r="D5" s="4">
        <f>B5*Inputs!B8</f>
        <v>0.72</v>
      </c>
      <c r="E5" s="4" t="s">
        <v>171</v>
      </c>
    </row>
    <row r="6" spans="1:5" ht="15" customHeight="1" x14ac:dyDescent="0.3">
      <c r="A6" s="4" t="s">
        <v>173</v>
      </c>
      <c r="B6" s="8">
        <f>Inputs!B19</f>
        <v>0.1</v>
      </c>
      <c r="C6" s="4" t="s">
        <v>55</v>
      </c>
      <c r="D6" s="4">
        <f>B6*Inputs!B8</f>
        <v>0.60000000000000009</v>
      </c>
      <c r="E6" s="4" t="s">
        <v>171</v>
      </c>
    </row>
    <row r="7" spans="1:5" ht="15" customHeight="1" x14ac:dyDescent="0.3">
      <c r="A7" s="4" t="s">
        <v>174</v>
      </c>
      <c r="B7" s="8">
        <f>Inputs!B20</f>
        <v>0.25</v>
      </c>
      <c r="C7" s="4" t="s">
        <v>55</v>
      </c>
      <c r="D7" s="4">
        <f>B7*Inputs!B8</f>
        <v>1.5</v>
      </c>
      <c r="E7" s="4" t="s">
        <v>175</v>
      </c>
    </row>
    <row r="8" spans="1:5" ht="15" customHeight="1" x14ac:dyDescent="0.3">
      <c r="A8" s="4" t="s">
        <v>176</v>
      </c>
      <c r="B8" s="8">
        <f>Inputs!B21</f>
        <v>1</v>
      </c>
      <c r="C8" s="4" t="s">
        <v>63</v>
      </c>
      <c r="D8" s="4">
        <f>B8</f>
        <v>1</v>
      </c>
      <c r="E8" s="4" t="s">
        <v>177</v>
      </c>
    </row>
    <row r="9" spans="1:5" ht="15" customHeight="1" x14ac:dyDescent="0.3">
      <c r="A9" s="4" t="s">
        <v>178</v>
      </c>
      <c r="B9" s="8">
        <f>SUM(B4:B6)</f>
        <v>0.37</v>
      </c>
      <c r="C9" s="4" t="s">
        <v>55</v>
      </c>
      <c r="D9" s="4"/>
      <c r="E9" s="4"/>
    </row>
    <row r="10" spans="1:5" ht="15" customHeight="1" x14ac:dyDescent="0.3">
      <c r="A10" s="4" t="s">
        <v>179</v>
      </c>
      <c r="B10" s="8">
        <f>B7</f>
        <v>0.25</v>
      </c>
      <c r="C10" s="4" t="s">
        <v>55</v>
      </c>
      <c r="D10" s="4"/>
      <c r="E10" s="4"/>
    </row>
    <row r="11" spans="1:5" ht="15" customHeight="1" x14ac:dyDescent="0.3">
      <c r="A11" s="4" t="s">
        <v>180</v>
      </c>
      <c r="B11" s="8">
        <f>Inputs!B33*B9+Inputs!B34*B10</f>
        <v>0.84400000000000008</v>
      </c>
      <c r="C11" s="4" t="s">
        <v>55</v>
      </c>
      <c r="D11" s="4"/>
      <c r="E11" s="4" t="s">
        <v>181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zoomScaleNormal="100" workbookViewId="0">
      <pane ySplit="1" topLeftCell="A2" activePane="bottomLeft" state="frozen"/>
      <selection pane="bottomLeft" sqref="A1:E1"/>
    </sheetView>
  </sheetViews>
  <sheetFormatPr defaultColWidth="8.6640625" defaultRowHeight="15" customHeight="1" x14ac:dyDescent="0.3"/>
  <cols>
    <col min="1" max="1" width="34" style="1" customWidth="1"/>
    <col min="2" max="3" width="18" style="1" customWidth="1"/>
    <col min="4" max="4" width="22" style="1" customWidth="1"/>
    <col min="5" max="5" width="60" style="1" customWidth="1"/>
  </cols>
  <sheetData>
    <row r="1" spans="1:5" ht="17.25" customHeight="1" x14ac:dyDescent="0.3">
      <c r="A1" s="15" t="s">
        <v>182</v>
      </c>
      <c r="B1" s="15"/>
      <c r="C1" s="15"/>
      <c r="D1" s="15"/>
      <c r="E1" s="15"/>
    </row>
    <row r="3" spans="1:5" ht="15" customHeight="1" x14ac:dyDescent="0.3">
      <c r="A3" s="2" t="s">
        <v>23</v>
      </c>
      <c r="B3" s="2" t="s">
        <v>24</v>
      </c>
      <c r="C3" s="2" t="s">
        <v>25</v>
      </c>
      <c r="D3" s="2" t="s">
        <v>183</v>
      </c>
      <c r="E3" s="2" t="s">
        <v>184</v>
      </c>
    </row>
    <row r="4" spans="1:5" ht="15" customHeight="1" x14ac:dyDescent="0.3">
      <c r="A4" s="4" t="s">
        <v>185</v>
      </c>
      <c r="B4" s="8">
        <f>Inputs!B22</f>
        <v>36</v>
      </c>
      <c r="C4" s="4" t="s">
        <v>66</v>
      </c>
      <c r="D4" s="4" t="s">
        <v>186</v>
      </c>
      <c r="E4" s="4" t="s">
        <v>187</v>
      </c>
    </row>
    <row r="5" spans="1:5" ht="27.75" customHeight="1" x14ac:dyDescent="0.3">
      <c r="A5" s="4" t="s">
        <v>188</v>
      </c>
      <c r="B5" s="8">
        <v>1</v>
      </c>
      <c r="C5" s="4"/>
      <c r="D5" s="4" t="s">
        <v>189</v>
      </c>
      <c r="E5" s="4" t="s">
        <v>190</v>
      </c>
    </row>
    <row r="6" spans="1:5" ht="15" customHeight="1" x14ac:dyDescent="0.3">
      <c r="A6" s="4" t="s">
        <v>191</v>
      </c>
      <c r="B6" s="8">
        <f>B4*B5</f>
        <v>36</v>
      </c>
      <c r="C6" s="4" t="s">
        <v>66</v>
      </c>
      <c r="D6" s="4" t="s">
        <v>192</v>
      </c>
      <c r="E6" s="4" t="s">
        <v>193</v>
      </c>
    </row>
    <row r="7" spans="1:5" ht="27.75" customHeight="1" x14ac:dyDescent="0.3">
      <c r="A7" s="4" t="s">
        <v>194</v>
      </c>
      <c r="B7" s="8">
        <f>0.77</f>
        <v>0.77</v>
      </c>
      <c r="C7" s="4"/>
      <c r="D7" s="4" t="s">
        <v>195</v>
      </c>
      <c r="E7" s="4" t="s">
        <v>196</v>
      </c>
    </row>
    <row r="8" spans="1:5" ht="15" customHeight="1" x14ac:dyDescent="0.3">
      <c r="A8" s="4" t="s">
        <v>197</v>
      </c>
      <c r="B8" s="8">
        <f>Inputs!B26</f>
        <v>1</v>
      </c>
      <c r="C8" s="4"/>
      <c r="D8" s="4" t="s">
        <v>186</v>
      </c>
      <c r="E8" s="4" t="s">
        <v>198</v>
      </c>
    </row>
    <row r="9" spans="1:5" ht="15" customHeight="1" x14ac:dyDescent="0.3">
      <c r="A9" s="4" t="s">
        <v>199</v>
      </c>
      <c r="B9" s="8">
        <f>B6*B7*B8</f>
        <v>27.72</v>
      </c>
      <c r="C9" s="4" t="s">
        <v>66</v>
      </c>
      <c r="D9" s="4" t="s">
        <v>200</v>
      </c>
      <c r="E9" s="4" t="s">
        <v>201</v>
      </c>
    </row>
    <row r="10" spans="1:5" ht="15" customHeight="1" x14ac:dyDescent="0.3">
      <c r="A10" s="4" t="s">
        <v>202</v>
      </c>
      <c r="B10" s="8">
        <f>Inputs!B25</f>
        <v>1.2</v>
      </c>
      <c r="C10" s="4" t="s">
        <v>74</v>
      </c>
      <c r="D10" s="4" t="s">
        <v>186</v>
      </c>
      <c r="E10" s="4" t="s">
        <v>203</v>
      </c>
    </row>
    <row r="11" spans="1:5" ht="15" customHeight="1" x14ac:dyDescent="0.3">
      <c r="A11" s="4" t="s">
        <v>204</v>
      </c>
      <c r="B11" s="8">
        <f>0.5*B10*B9^2/1000</f>
        <v>0.46103903999999996</v>
      </c>
      <c r="C11" s="4" t="s">
        <v>55</v>
      </c>
      <c r="D11" s="4" t="s">
        <v>205</v>
      </c>
      <c r="E11" s="4" t="s">
        <v>206</v>
      </c>
    </row>
    <row r="12" spans="1:5" ht="15" customHeight="1" x14ac:dyDescent="0.3">
      <c r="A12" s="4" t="s">
        <v>207</v>
      </c>
      <c r="B12" s="8">
        <f>B11*(Inputs!B29-Inputs!B27)</f>
        <v>0.27662342400000001</v>
      </c>
      <c r="C12" s="4" t="s">
        <v>55</v>
      </c>
      <c r="D12" s="4" t="s">
        <v>208</v>
      </c>
      <c r="E12" s="4" t="s">
        <v>209</v>
      </c>
    </row>
    <row r="13" spans="1:5" ht="27.75" customHeight="1" x14ac:dyDescent="0.3">
      <c r="A13" s="4" t="s">
        <v>210</v>
      </c>
      <c r="B13" s="8">
        <f>B11*(Inputs!B30-Inputs!B27)</f>
        <v>-0.32272732799999992</v>
      </c>
      <c r="C13" s="4" t="s">
        <v>55</v>
      </c>
      <c r="D13" s="4" t="s">
        <v>211</v>
      </c>
      <c r="E13" s="4" t="s">
        <v>209</v>
      </c>
    </row>
    <row r="14" spans="1:5" ht="15" customHeight="1" x14ac:dyDescent="0.3">
      <c r="A14" s="4" t="s">
        <v>212</v>
      </c>
      <c r="B14" s="8">
        <f>B11*(Inputs!B31-Inputs!B27)</f>
        <v>-0.5532468479999999</v>
      </c>
      <c r="C14" s="4" t="s">
        <v>55</v>
      </c>
      <c r="D14" s="4" t="s">
        <v>208</v>
      </c>
      <c r="E14" s="4" t="s">
        <v>213</v>
      </c>
    </row>
    <row r="15" spans="1:5" ht="15" customHeight="1" x14ac:dyDescent="0.3">
      <c r="A15" s="4" t="s">
        <v>214</v>
      </c>
      <c r="B15" s="8">
        <f>B11*(Inputs!B32-Inputs!B28)</f>
        <v>4.6103903999999987E-2</v>
      </c>
      <c r="C15" s="4" t="s">
        <v>55</v>
      </c>
      <c r="D15" s="4" t="s">
        <v>215</v>
      </c>
      <c r="E15" s="4" t="s">
        <v>213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showGridLines="0" zoomScaleNormal="100" workbookViewId="0">
      <pane ySplit="1" topLeftCell="A2" activePane="bottomLeft" state="frozen"/>
      <selection pane="bottomLeft" sqref="A1:F1"/>
    </sheetView>
  </sheetViews>
  <sheetFormatPr defaultColWidth="8.6640625" defaultRowHeight="15" customHeight="1" x14ac:dyDescent="0.3"/>
  <cols>
    <col min="1" max="1" width="42" style="1" customWidth="1"/>
    <col min="2" max="4" width="16" style="1" customWidth="1"/>
    <col min="5" max="5" width="18" style="1" customWidth="1"/>
    <col min="6" max="6" width="58" style="1" customWidth="1"/>
  </cols>
  <sheetData>
    <row r="1" spans="1:6" ht="17.25" customHeight="1" x14ac:dyDescent="0.3">
      <c r="A1" s="15" t="s">
        <v>216</v>
      </c>
      <c r="B1" s="15"/>
      <c r="C1" s="15"/>
      <c r="D1" s="15"/>
      <c r="E1" s="15"/>
      <c r="F1" s="15"/>
    </row>
    <row r="3" spans="1:6" ht="15" customHeight="1" x14ac:dyDescent="0.3">
      <c r="A3" s="2" t="s">
        <v>217</v>
      </c>
      <c r="B3" s="2" t="s">
        <v>218</v>
      </c>
      <c r="C3" s="2" t="s">
        <v>219</v>
      </c>
      <c r="D3" s="2" t="s">
        <v>220</v>
      </c>
      <c r="E3" s="2" t="s">
        <v>221</v>
      </c>
      <c r="F3" s="2" t="s">
        <v>222</v>
      </c>
    </row>
    <row r="4" spans="1:6" ht="15" customHeight="1" x14ac:dyDescent="0.3">
      <c r="A4" s="4" t="s">
        <v>223</v>
      </c>
      <c r="B4" s="4">
        <f>Loads!B9</f>
        <v>0.37</v>
      </c>
      <c r="C4" s="4">
        <f>Loads!B10</f>
        <v>0.25</v>
      </c>
      <c r="D4" s="4">
        <v>0</v>
      </c>
      <c r="E4" s="4" t="str">
        <f>Inputs!B33&amp;"G + "&amp;Inputs!B34&amp;"Q"</f>
        <v>1,2G + 1,6Q</v>
      </c>
      <c r="F4" s="4" t="s">
        <v>224</v>
      </c>
    </row>
    <row r="5" spans="1:6" ht="15" customHeight="1" x14ac:dyDescent="0.3">
      <c r="A5" s="4" t="s">
        <v>225</v>
      </c>
      <c r="B5" s="4">
        <f>Loads!B9</f>
        <v>0.37</v>
      </c>
      <c r="C5" s="4">
        <v>0</v>
      </c>
      <c r="D5" s="4">
        <f>MAX(ABS(Wind!B12),ABS(Wind!B13),ABS(Wind!B14),ABS(Wind!B15))</f>
        <v>0.5532468479999999</v>
      </c>
      <c r="E5" s="4" t="str">
        <f>Inputs!B33&amp;"G + "&amp;Inputs!B35&amp;"W"</f>
        <v>1,2G + 1,3W</v>
      </c>
      <c r="F5" s="4" t="s">
        <v>226</v>
      </c>
    </row>
    <row r="6" spans="1:6" ht="15" customHeight="1" x14ac:dyDescent="0.3">
      <c r="A6" s="4" t="s">
        <v>227</v>
      </c>
      <c r="B6" s="4">
        <f>Loads!B9</f>
        <v>0.37</v>
      </c>
      <c r="C6" s="4">
        <v>0</v>
      </c>
      <c r="D6" s="4">
        <f>MAX(ABS(Wind!B14),ABS(Wind!B15))</f>
        <v>0.5532468479999999</v>
      </c>
      <c r="E6" s="4" t="s">
        <v>228</v>
      </c>
      <c r="F6" s="4" t="s">
        <v>229</v>
      </c>
    </row>
    <row r="7" spans="1:6" ht="15" customHeight="1" x14ac:dyDescent="0.3">
      <c r="A7" s="4" t="s">
        <v>230</v>
      </c>
      <c r="B7" s="4">
        <f>Loads!B9</f>
        <v>0.37</v>
      </c>
      <c r="C7" s="4">
        <f>Loads!B10</f>
        <v>0.25</v>
      </c>
      <c r="D7" s="4">
        <v>0</v>
      </c>
      <c r="E7" s="4" t="s">
        <v>231</v>
      </c>
      <c r="F7" s="4" t="s">
        <v>232</v>
      </c>
    </row>
    <row r="8" spans="1:6" ht="15" customHeight="1" x14ac:dyDescent="0.3">
      <c r="A8" s="4" t="s">
        <v>233</v>
      </c>
      <c r="B8" s="4">
        <f>Loads!B9</f>
        <v>0.37</v>
      </c>
      <c r="C8" s="4">
        <v>0</v>
      </c>
      <c r="D8" s="4">
        <f>MAX(ABS(Wind!B12),ABS(Wind!B13),ABS(Wind!B14),ABS(Wind!B15))</f>
        <v>0.5532468479999999</v>
      </c>
      <c r="E8" s="4" t="s">
        <v>234</v>
      </c>
      <c r="F8" s="4" t="s">
        <v>235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showGridLines="0" zoomScaleNormal="100" workbookViewId="0">
      <pane ySplit="1" topLeftCell="A2" activePane="bottomLeft" state="frozen"/>
      <selection pane="bottomLeft" sqref="A1:L1"/>
    </sheetView>
  </sheetViews>
  <sheetFormatPr defaultColWidth="8.6640625" defaultRowHeight="15" customHeight="1" x14ac:dyDescent="0.3"/>
  <cols>
    <col min="1" max="1" width="22" style="1" customWidth="1"/>
    <col min="2" max="2" width="18" style="1" customWidth="1"/>
    <col min="3" max="3" width="14" style="1" customWidth="1"/>
    <col min="4" max="9" width="16" style="1" customWidth="1"/>
    <col min="10" max="10" width="14" style="1" customWidth="1"/>
    <col min="11" max="12" width="16" style="1" customWidth="1"/>
  </cols>
  <sheetData>
    <row r="1" spans="1:12" ht="17.25" customHeight="1" x14ac:dyDescent="0.3">
      <c r="A1" s="15" t="s">
        <v>236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15" customHeight="1" x14ac:dyDescent="0.3">
      <c r="A3" s="2" t="s">
        <v>237</v>
      </c>
      <c r="B3" s="2" t="s">
        <v>238</v>
      </c>
      <c r="C3" s="2" t="s">
        <v>239</v>
      </c>
      <c r="D3" s="2" t="s">
        <v>240</v>
      </c>
      <c r="E3" s="2" t="s">
        <v>241</v>
      </c>
      <c r="F3" s="2" t="s">
        <v>242</v>
      </c>
      <c r="G3" s="2" t="s">
        <v>243</v>
      </c>
      <c r="H3" s="2" t="s">
        <v>244</v>
      </c>
      <c r="I3" s="2" t="s">
        <v>245</v>
      </c>
      <c r="J3" s="2" t="s">
        <v>246</v>
      </c>
      <c r="K3" s="2" t="s">
        <v>247</v>
      </c>
      <c r="L3" s="2" t="s">
        <v>248</v>
      </c>
    </row>
    <row r="4" spans="1:12" ht="15" customHeight="1" x14ac:dyDescent="0.3">
      <c r="A4" s="4" t="s">
        <v>249</v>
      </c>
      <c r="B4" s="4" t="s">
        <v>250</v>
      </c>
      <c r="C4" s="6">
        <v>7270</v>
      </c>
      <c r="D4" s="6">
        <v>1627000000</v>
      </c>
      <c r="E4" s="6">
        <v>104300000</v>
      </c>
      <c r="F4" s="6">
        <v>1024000</v>
      </c>
      <c r="G4" s="6">
        <v>904000</v>
      </c>
      <c r="H4" s="6">
        <v>149.6</v>
      </c>
      <c r="I4" s="6">
        <v>37.9</v>
      </c>
      <c r="J4" s="6">
        <v>8</v>
      </c>
      <c r="K4" s="6">
        <v>360</v>
      </c>
      <c r="L4" s="6">
        <v>1</v>
      </c>
    </row>
    <row r="5" spans="1:12" ht="15" customHeight="1" x14ac:dyDescent="0.3">
      <c r="A5" s="4" t="s">
        <v>251</v>
      </c>
      <c r="B5" s="4" t="s">
        <v>252</v>
      </c>
      <c r="C5" s="6">
        <v>10600</v>
      </c>
      <c r="D5" s="6">
        <v>1126000000</v>
      </c>
      <c r="E5" s="6">
        <v>392000000</v>
      </c>
      <c r="F5" s="6">
        <v>1035000</v>
      </c>
      <c r="G5" s="6">
        <v>938000</v>
      </c>
      <c r="H5" s="6">
        <v>103</v>
      </c>
      <c r="I5" s="6">
        <v>60.8</v>
      </c>
      <c r="J5" s="6">
        <v>10</v>
      </c>
      <c r="K5" s="6">
        <v>240</v>
      </c>
      <c r="L5" s="6">
        <v>1</v>
      </c>
    </row>
    <row r="6" spans="1:12" ht="15" customHeight="1" x14ac:dyDescent="0.3">
      <c r="A6" s="4" t="s">
        <v>253</v>
      </c>
      <c r="B6" s="4" t="s">
        <v>254</v>
      </c>
      <c r="C6" s="6">
        <v>2395</v>
      </c>
      <c r="D6" s="6">
        <v>131700000</v>
      </c>
      <c r="E6" s="6">
        <v>10090000</v>
      </c>
      <c r="F6" s="6">
        <v>166000</v>
      </c>
      <c r="G6" s="6">
        <v>112000</v>
      </c>
      <c r="H6" s="6">
        <v>234.5</v>
      </c>
      <c r="I6" s="6">
        <v>64.900000000000006</v>
      </c>
      <c r="J6" s="6">
        <v>6</v>
      </c>
      <c r="K6" s="6">
        <v>180</v>
      </c>
      <c r="L6" s="6">
        <v>1</v>
      </c>
    </row>
    <row r="7" spans="1:12" ht="15" customHeight="1" x14ac:dyDescent="0.3">
      <c r="A7" s="4" t="s">
        <v>255</v>
      </c>
      <c r="B7" s="4" t="s">
        <v>256</v>
      </c>
      <c r="C7" s="6">
        <v>1376</v>
      </c>
      <c r="D7" s="6">
        <v>10000000</v>
      </c>
      <c r="E7" s="6">
        <v>10000000</v>
      </c>
      <c r="F7" s="6">
        <v>22000</v>
      </c>
      <c r="G7" s="6">
        <v>22000</v>
      </c>
      <c r="H7" s="6">
        <v>60</v>
      </c>
      <c r="I7" s="6">
        <v>60</v>
      </c>
      <c r="J7" s="6">
        <v>8</v>
      </c>
      <c r="K7" s="6">
        <v>90</v>
      </c>
      <c r="L7" s="6">
        <v>3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7"/>
  <sheetViews>
    <sheetView showGridLines="0" zoomScaleNormal="100" workbookViewId="0">
      <pane ySplit="1" topLeftCell="A2" activePane="bottomLeft" state="frozen"/>
      <selection pane="bottomLeft" sqref="A1:M1"/>
    </sheetView>
  </sheetViews>
  <sheetFormatPr defaultColWidth="8.6640625" defaultRowHeight="15" customHeight="1" x14ac:dyDescent="0.3"/>
  <cols>
    <col min="1" max="1" width="16" style="1" customWidth="1"/>
    <col min="2" max="3" width="18" style="1" customWidth="1"/>
    <col min="4" max="11" width="16" style="1" customWidth="1"/>
    <col min="12" max="12" width="18" style="1" customWidth="1"/>
    <col min="13" max="13" width="60" style="1" customWidth="1"/>
  </cols>
  <sheetData>
    <row r="1" spans="1:23" ht="17.25" customHeight="1" x14ac:dyDescent="0.3">
      <c r="A1" s="15" t="s">
        <v>257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23" ht="54.75" customHeight="1" x14ac:dyDescent="0.3">
      <c r="A3" s="2" t="s">
        <v>258</v>
      </c>
      <c r="B3" s="2" t="s">
        <v>238</v>
      </c>
      <c r="C3" s="2" t="s">
        <v>259</v>
      </c>
      <c r="D3" s="2" t="s">
        <v>239</v>
      </c>
      <c r="E3" s="2" t="s">
        <v>240</v>
      </c>
      <c r="F3" s="2" t="s">
        <v>241</v>
      </c>
      <c r="G3" s="2" t="s">
        <v>242</v>
      </c>
      <c r="H3" s="2" t="s">
        <v>246</v>
      </c>
      <c r="I3" s="2" t="s">
        <v>247</v>
      </c>
      <c r="J3" s="2" t="s">
        <v>260</v>
      </c>
      <c r="K3" s="2" t="s">
        <v>261</v>
      </c>
      <c r="L3" s="2" t="s">
        <v>262</v>
      </c>
      <c r="M3" s="9" t="s">
        <v>263</v>
      </c>
      <c r="N3" s="2" t="s">
        <v>264</v>
      </c>
      <c r="O3" s="2" t="s">
        <v>265</v>
      </c>
      <c r="P3" s="2" t="s">
        <v>266</v>
      </c>
      <c r="Q3" s="2" t="s">
        <v>267</v>
      </c>
      <c r="R3" s="2" t="s">
        <v>268</v>
      </c>
      <c r="S3" s="2" t="s">
        <v>269</v>
      </c>
      <c r="T3" s="2" t="s">
        <v>270</v>
      </c>
      <c r="U3" s="2" t="s">
        <v>271</v>
      </c>
      <c r="V3" s="2" t="s">
        <v>272</v>
      </c>
      <c r="W3" s="10" t="s">
        <v>273</v>
      </c>
    </row>
    <row r="4" spans="1:23" ht="15" customHeight="1" x14ac:dyDescent="0.3">
      <c r="A4" s="4" t="s">
        <v>274</v>
      </c>
      <c r="B4" s="4" t="s">
        <v>249</v>
      </c>
      <c r="C4" s="4">
        <v>12.5</v>
      </c>
      <c r="D4" s="4">
        <f>Sections!C4</f>
        <v>7270</v>
      </c>
      <c r="E4" s="4">
        <f>Sections!D4</f>
        <v>1627000000</v>
      </c>
      <c r="F4" s="4">
        <f>Sections!E4</f>
        <v>104300000</v>
      </c>
      <c r="G4" s="4">
        <f>Sections!F4</f>
        <v>1024000</v>
      </c>
      <c r="H4" s="4">
        <f>Sections!J4</f>
        <v>8</v>
      </c>
      <c r="I4" s="4">
        <f>Sections!K4</f>
        <v>360</v>
      </c>
      <c r="J4" s="4">
        <v>380</v>
      </c>
      <c r="K4" s="4">
        <v>85</v>
      </c>
      <c r="L4" s="4">
        <v>-120</v>
      </c>
      <c r="M4" s="4" t="s">
        <v>275</v>
      </c>
      <c r="N4" s="8">
        <f>0.9*Inputs!B11*D4/1000</f>
        <v>2322.7649999999999</v>
      </c>
      <c r="O4" s="8">
        <f>Steel_Detailed!J4</f>
        <v>919.49398238730191</v>
      </c>
      <c r="P4" s="8">
        <f>Steel_Detailed!K4</f>
        <v>327.16800000000001</v>
      </c>
      <c r="Q4" s="8">
        <f>Steel_Detailed!L4</f>
        <v>607.30560000000014</v>
      </c>
      <c r="R4" s="8">
        <f>IF(L4&gt;=0,ABS(L4)/N4,ABS(L4)/O4)+IF(P4&gt;0,ABS(J4)/P4,0)</f>
        <v>1.2919893493196926</v>
      </c>
      <c r="S4" s="8">
        <f>IF(Q4&gt;0,ABS(K4)/Q4,0)</f>
        <v>0.13996248346796075</v>
      </c>
      <c r="T4" s="8">
        <f>IF(P4&gt;0,ABS(J4)/P4,0)</f>
        <v>1.1614827856025038</v>
      </c>
      <c r="U4" s="8">
        <f>MAX(R4:T4)</f>
        <v>1.2919893493196926</v>
      </c>
      <c r="V4" s="8" t="str">
        <f>IF(U4&lt;=1,"PASS","FAIL")</f>
        <v>FAIL</v>
      </c>
    </row>
    <row r="5" spans="1:23" ht="15" customHeight="1" x14ac:dyDescent="0.3">
      <c r="A5" s="4" t="s">
        <v>276</v>
      </c>
      <c r="B5" s="4" t="s">
        <v>251</v>
      </c>
      <c r="C5" s="4">
        <v>8</v>
      </c>
      <c r="D5" s="4">
        <f>Sections!C5</f>
        <v>10600</v>
      </c>
      <c r="E5" s="4">
        <f>Sections!D5</f>
        <v>1126000000</v>
      </c>
      <c r="F5" s="4">
        <f>Sections!E5</f>
        <v>392000000</v>
      </c>
      <c r="G5" s="4">
        <f>Sections!F5</f>
        <v>1035000</v>
      </c>
      <c r="H5" s="4">
        <f>Sections!J5</f>
        <v>10</v>
      </c>
      <c r="I5" s="4">
        <f>Sections!K5</f>
        <v>240</v>
      </c>
      <c r="J5" s="4">
        <v>120</v>
      </c>
      <c r="K5" s="4">
        <v>55</v>
      </c>
      <c r="L5" s="4">
        <v>-250</v>
      </c>
      <c r="M5" s="4" t="s">
        <v>277</v>
      </c>
      <c r="N5" s="8">
        <f>0.9*Inputs!B11*D5/1000</f>
        <v>3386.7</v>
      </c>
      <c r="O5" s="8">
        <f>Steel_Detailed!J5</f>
        <v>2938.9107503858027</v>
      </c>
      <c r="P5" s="8">
        <f>Steel_Detailed!K5</f>
        <v>330.6825</v>
      </c>
      <c r="Q5" s="8">
        <f>Steel_Detailed!L5</f>
        <v>506.08800000000014</v>
      </c>
      <c r="R5" s="8">
        <f>IF(L5&gt;=0,ABS(L5)/N5,ABS(L5)/O5)+IF(P5&gt;0,ABS(J5)/P5,0)</f>
        <v>0.44795137951428865</v>
      </c>
      <c r="S5" s="8">
        <f>IF(Q5&gt;0,ABS(K5)/Q5,0)</f>
        <v>0.1086767518692401</v>
      </c>
      <c r="T5" s="8">
        <f>IF(P5&gt;0,ABS(J5)/P5,0)</f>
        <v>0.36288584971989746</v>
      </c>
      <c r="U5" s="8">
        <f>MAX(R5:T5)</f>
        <v>0.44795137951428865</v>
      </c>
      <c r="V5" s="8" t="str">
        <f>IF(U5&lt;=1,"PASS","FAIL")</f>
        <v>PASS</v>
      </c>
    </row>
    <row r="6" spans="1:23" ht="15" customHeight="1" x14ac:dyDescent="0.3">
      <c r="A6" s="4" t="s">
        <v>278</v>
      </c>
      <c r="B6" s="4" t="s">
        <v>253</v>
      </c>
      <c r="C6" s="4">
        <v>6</v>
      </c>
      <c r="D6" s="4">
        <f>Sections!C6</f>
        <v>2395</v>
      </c>
      <c r="E6" s="4">
        <f>Sections!D6</f>
        <v>131700000</v>
      </c>
      <c r="F6" s="4">
        <f>Sections!E6</f>
        <v>10090000</v>
      </c>
      <c r="G6" s="4">
        <f>Sections!F6</f>
        <v>166000</v>
      </c>
      <c r="H6" s="4">
        <f>Sections!J6</f>
        <v>6</v>
      </c>
      <c r="I6" s="4">
        <f>Sections!K6</f>
        <v>180</v>
      </c>
      <c r="J6" s="4">
        <v>18</v>
      </c>
      <c r="K6" s="4">
        <v>12</v>
      </c>
      <c r="L6" s="4">
        <v>0</v>
      </c>
      <c r="M6" s="4" t="s">
        <v>279</v>
      </c>
      <c r="N6" s="8">
        <f>0.9*Inputs!B11*D6/1000</f>
        <v>765.20249999999999</v>
      </c>
      <c r="O6" s="8">
        <f>Steel_Detailed!J6</f>
        <v>356.9187836217036</v>
      </c>
      <c r="P6" s="8">
        <f>Steel_Detailed!K6</f>
        <v>53.036999999999999</v>
      </c>
      <c r="Q6" s="8">
        <f>Steel_Detailed!L6</f>
        <v>227.73960000000002</v>
      </c>
      <c r="R6" s="8">
        <f>IF(L6&gt;=0,ABS(L6)/N6,ABS(L6)/O6)+IF(P6&gt;0,ABS(J6)/P6,0)</f>
        <v>0.33938571186153066</v>
      </c>
      <c r="S6" s="8">
        <f>IF(Q6&gt;0,ABS(K6)/Q6,0)</f>
        <v>5.2691758482055817E-2</v>
      </c>
      <c r="T6" s="8">
        <f>IF(P6&gt;0,ABS(J6)/P6,0)</f>
        <v>0.33938571186153066</v>
      </c>
      <c r="U6" s="8">
        <f>MAX(R6:T6)</f>
        <v>0.33938571186153066</v>
      </c>
      <c r="V6" s="8" t="str">
        <f>IF(U6&lt;=1,"PASS","FAIL")</f>
        <v>PASS</v>
      </c>
    </row>
    <row r="7" spans="1:23" ht="15" customHeight="1" x14ac:dyDescent="0.3">
      <c r="A7" s="4" t="s">
        <v>280</v>
      </c>
      <c r="B7" s="4" t="s">
        <v>255</v>
      </c>
      <c r="C7" s="4">
        <v>8</v>
      </c>
      <c r="D7" s="4">
        <f>Sections!C7</f>
        <v>1376</v>
      </c>
      <c r="E7" s="4">
        <f>Sections!D7</f>
        <v>10000000</v>
      </c>
      <c r="F7" s="4">
        <f>Sections!E7</f>
        <v>10000000</v>
      </c>
      <c r="G7" s="4">
        <f>Sections!F7</f>
        <v>22000</v>
      </c>
      <c r="H7" s="4">
        <f>Sections!J7</f>
        <v>8</v>
      </c>
      <c r="I7" s="4">
        <f>Sections!K7</f>
        <v>90</v>
      </c>
      <c r="J7" s="4">
        <v>0</v>
      </c>
      <c r="K7" s="4">
        <v>15</v>
      </c>
      <c r="L7" s="4">
        <v>65</v>
      </c>
      <c r="M7" s="4" t="s">
        <v>281</v>
      </c>
      <c r="N7" s="8">
        <f>0.9*Inputs!B11*D7/1000</f>
        <v>439.63200000000001</v>
      </c>
      <c r="O7" s="8">
        <f>Steel_Detailed!J7</f>
        <v>201.11674836974933</v>
      </c>
      <c r="P7" s="8">
        <f>Steel_Detailed!K7</f>
        <v>7.0289999999999999</v>
      </c>
      <c r="Q7" s="8">
        <f>Steel_Detailed!L7</f>
        <v>151.82640000000004</v>
      </c>
      <c r="R7" s="8">
        <f>IF(L7&gt;=0,ABS(L7)/N7,ABS(L7)/O7)+IF(P7&gt;0,ABS(J7)/P7,0)</f>
        <v>0.14785092986861739</v>
      </c>
      <c r="S7" s="8">
        <f>IF(Q7&gt;0,ABS(K7)/Q7,0)</f>
        <v>9.8797047153854636E-2</v>
      </c>
      <c r="T7" s="8">
        <f>IF(P7&gt;0,ABS(J7)/P7,0)</f>
        <v>0</v>
      </c>
      <c r="U7" s="8">
        <f>MAX(R7:T7)</f>
        <v>0.14785092986861739</v>
      </c>
      <c r="V7" s="8" t="str">
        <f>IF(U7&lt;=1,"PASS","FAIL")</f>
        <v>PASS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showGridLines="0" zoomScaleNormal="100" workbookViewId="0">
      <pane ySplit="1" topLeftCell="A2" activePane="bottomLeft" state="frozen"/>
      <selection pane="bottomLeft" sqref="A1:M1"/>
    </sheetView>
  </sheetViews>
  <sheetFormatPr defaultColWidth="8.6640625" defaultRowHeight="15" customHeight="1" x14ac:dyDescent="0.3"/>
  <cols>
    <col min="1" max="12" width="18" style="1" customWidth="1"/>
    <col min="13" max="13" width="55" style="1" customWidth="1"/>
  </cols>
  <sheetData>
    <row r="1" spans="1:13" ht="17.25" customHeight="1" x14ac:dyDescent="0.3">
      <c r="A1" s="15" t="s">
        <v>282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ht="15" customHeight="1" x14ac:dyDescent="0.3">
      <c r="A3" s="2" t="s">
        <v>258</v>
      </c>
      <c r="B3" s="2" t="s">
        <v>238</v>
      </c>
      <c r="C3" s="2" t="s">
        <v>283</v>
      </c>
      <c r="D3" s="2" t="s">
        <v>284</v>
      </c>
      <c r="E3" s="2" t="s">
        <v>285</v>
      </c>
      <c r="F3" s="2" t="s">
        <v>286</v>
      </c>
      <c r="G3" s="2" t="s">
        <v>287</v>
      </c>
      <c r="H3" s="2" t="s">
        <v>288</v>
      </c>
      <c r="I3" s="2" t="s">
        <v>289</v>
      </c>
      <c r="J3" s="2" t="s">
        <v>290</v>
      </c>
      <c r="K3" s="2" t="s">
        <v>291</v>
      </c>
      <c r="L3" s="2" t="s">
        <v>292</v>
      </c>
      <c r="M3" s="2" t="s">
        <v>293</v>
      </c>
    </row>
    <row r="4" spans="1:13" ht="15" customHeight="1" x14ac:dyDescent="0.3">
      <c r="A4" s="4" t="s">
        <v>274</v>
      </c>
      <c r="B4" s="4" t="s">
        <v>249</v>
      </c>
      <c r="C4" s="8">
        <f>Member_Checks!C4*1000</f>
        <v>12500</v>
      </c>
      <c r="D4" s="8">
        <v>1</v>
      </c>
      <c r="E4" s="8">
        <f>MIN(SQRT(Member_Checks!E4/Member_Checks!D4),SQRT(Member_Checks!F4/Member_Checks!D4))</f>
        <v>119.77741851553172</v>
      </c>
      <c r="F4" s="8">
        <f>D4*C4/E4</f>
        <v>104.36023880727656</v>
      </c>
      <c r="G4" s="8">
        <f>PI()^2*Inputs!B12/(F4^2)</f>
        <v>181.2423199398946</v>
      </c>
      <c r="H4" s="8">
        <f>SQRT(Inputs!B11/G4)</f>
        <v>1.3995369538914511</v>
      </c>
      <c r="I4" s="8">
        <v>1.34</v>
      </c>
      <c r="J4" s="8">
        <f>0.9*Member_Checks!D4*Inputs!B11/(1+H4^(2*I4))^(1/I4)/1000</f>
        <v>919.49398238730191</v>
      </c>
      <c r="K4" s="8">
        <f>Member_Checks!G4*Inputs!B11*0.9/1000000</f>
        <v>327.16800000000001</v>
      </c>
      <c r="L4" s="8">
        <f>0.9*0.66*Member_Checks!H4*Member_Checks!I4*Inputs!B11/1000</f>
        <v>607.30560000000014</v>
      </c>
      <c r="M4" s="4" t="s">
        <v>294</v>
      </c>
    </row>
    <row r="5" spans="1:13" ht="15" customHeight="1" x14ac:dyDescent="0.3">
      <c r="A5" s="4" t="s">
        <v>276</v>
      </c>
      <c r="B5" s="4" t="s">
        <v>251</v>
      </c>
      <c r="C5" s="8">
        <f>Member_Checks!C5*1000</f>
        <v>8000</v>
      </c>
      <c r="D5" s="8">
        <v>1</v>
      </c>
      <c r="E5" s="8">
        <f>MIN(SQRT(Member_Checks!E5/Member_Checks!D5),SQRT(Member_Checks!F5/Member_Checks!D5))</f>
        <v>192.30478952816463</v>
      </c>
      <c r="F5" s="8">
        <f>D5*C5/E5</f>
        <v>41.600627938745816</v>
      </c>
      <c r="G5" s="8">
        <f>PI()^2*Inputs!B12/(F5^2)</f>
        <v>1140.5910746541947</v>
      </c>
      <c r="H5" s="8">
        <f>SQRT(Inputs!B11/G5)</f>
        <v>0.55789079031222377</v>
      </c>
      <c r="I5" s="8">
        <v>1.34</v>
      </c>
      <c r="J5" s="8">
        <f>0.9*Member_Checks!D5*Inputs!B11/(1+H5^(2*I5))^(1/I5)/1000</f>
        <v>2938.9107503858027</v>
      </c>
      <c r="K5" s="8">
        <f>Member_Checks!G5*Inputs!B11*0.9/1000000</f>
        <v>330.6825</v>
      </c>
      <c r="L5" s="8">
        <f>0.9*0.66*Member_Checks!H5*Member_Checks!I5*Inputs!B11/1000</f>
        <v>506.08800000000014</v>
      </c>
      <c r="M5" s="4" t="s">
        <v>294</v>
      </c>
    </row>
    <row r="6" spans="1:13" ht="15" customHeight="1" x14ac:dyDescent="0.3">
      <c r="A6" s="4" t="s">
        <v>278</v>
      </c>
      <c r="B6" s="4" t="s">
        <v>253</v>
      </c>
      <c r="C6" s="8">
        <f>Member_Checks!C6*1000</f>
        <v>6000</v>
      </c>
      <c r="D6" s="8">
        <v>1</v>
      </c>
      <c r="E6" s="8">
        <f>MIN(SQRT(Member_Checks!E6/Member_Checks!D6),SQRT(Member_Checks!F6/Member_Checks!D6))</f>
        <v>64.907192456366886</v>
      </c>
      <c r="F6" s="8">
        <f>D6*C6/E6</f>
        <v>92.439678453715757</v>
      </c>
      <c r="G6" s="8">
        <f>PI()^2*Inputs!B12/(F6^2)</f>
        <v>231.00048343073914</v>
      </c>
      <c r="H6" s="8">
        <f>SQRT(Inputs!B11/G6)</f>
        <v>1.2396746833890724</v>
      </c>
      <c r="I6" s="8">
        <v>1.34</v>
      </c>
      <c r="J6" s="8">
        <f>0.9*Member_Checks!D6*Inputs!B11/(1+H6^(2*I6))^(1/I6)/1000</f>
        <v>356.9187836217036</v>
      </c>
      <c r="K6" s="8">
        <f>Member_Checks!G6*Inputs!B11*0.9/1000000</f>
        <v>53.036999999999999</v>
      </c>
      <c r="L6" s="8">
        <f>0.9*0.66*Member_Checks!H6*Member_Checks!I6*Inputs!B11/1000</f>
        <v>227.73960000000002</v>
      </c>
      <c r="M6" s="4" t="s">
        <v>294</v>
      </c>
    </row>
    <row r="7" spans="1:13" ht="15" customHeight="1" x14ac:dyDescent="0.3">
      <c r="A7" s="4" t="s">
        <v>280</v>
      </c>
      <c r="B7" s="4" t="s">
        <v>255</v>
      </c>
      <c r="C7" s="8">
        <f>Member_Checks!C7*1000</f>
        <v>8000</v>
      </c>
      <c r="D7" s="8">
        <v>1</v>
      </c>
      <c r="E7" s="8">
        <f>MIN(SQRT(Member_Checks!E7/Member_Checks!D7),SQRT(Member_Checks!F7/Member_Checks!D7))</f>
        <v>85.249292433809188</v>
      </c>
      <c r="F7" s="8">
        <f>D7*C7/E7</f>
        <v>93.842421111137156</v>
      </c>
      <c r="G7" s="8">
        <f>PI()^2*Inputs!B12/(F7^2)</f>
        <v>224.14617553346105</v>
      </c>
      <c r="H7" s="8">
        <f>SQRT(Inputs!B11/G7)</f>
        <v>1.2584863515904705</v>
      </c>
      <c r="I7" s="8">
        <v>1.34</v>
      </c>
      <c r="J7" s="8">
        <f>0.9*Member_Checks!D7*Inputs!B11/(1+H7^(2*I7))^(1/I7)/1000</f>
        <v>201.11674836974933</v>
      </c>
      <c r="K7" s="8">
        <f>Member_Checks!G7*Inputs!B11*0.9/1000000</f>
        <v>7.0289999999999999</v>
      </c>
      <c r="L7" s="8">
        <f>0.9*0.66*Member_Checks!H7*Member_Checks!I7*Inputs!B11/1000</f>
        <v>151.82640000000004</v>
      </c>
      <c r="M7" s="4" t="s">
        <v>294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showGridLines="0" tabSelected="1" zoomScaleNormal="100" workbookViewId="0">
      <pane ySplit="1" topLeftCell="A2" activePane="bottomLeft" state="frozen"/>
      <selection pane="bottomLeft" activeCell="H16" sqref="H16"/>
    </sheetView>
  </sheetViews>
  <sheetFormatPr defaultColWidth="8.6640625" defaultRowHeight="15" customHeight="1" x14ac:dyDescent="0.3"/>
  <cols>
    <col min="1" max="1" width="20" style="1" customWidth="1"/>
    <col min="2" max="2" width="22" style="1" customWidth="1"/>
    <col min="3" max="3" width="16" style="1" customWidth="1"/>
    <col min="4" max="9" width="18" style="1" customWidth="1"/>
    <col min="10" max="10" width="55" style="1" customWidth="1"/>
  </cols>
  <sheetData>
    <row r="1" spans="1:10" ht="17.25" customHeight="1" x14ac:dyDescent="0.3">
      <c r="A1" s="15" t="s">
        <v>295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27.75" customHeight="1" x14ac:dyDescent="0.3">
      <c r="A3" s="2" t="s">
        <v>237</v>
      </c>
      <c r="B3" s="2" t="s">
        <v>296</v>
      </c>
      <c r="C3" s="2" t="s">
        <v>297</v>
      </c>
      <c r="D3" s="2" t="s">
        <v>298</v>
      </c>
      <c r="E3" s="2" t="s">
        <v>299</v>
      </c>
      <c r="F3" s="2" t="s">
        <v>300</v>
      </c>
      <c r="G3" s="2" t="s">
        <v>301</v>
      </c>
      <c r="H3" s="2" t="s">
        <v>302</v>
      </c>
      <c r="I3" s="2" t="s">
        <v>303</v>
      </c>
      <c r="J3" s="2" t="s">
        <v>304</v>
      </c>
    </row>
    <row r="4" spans="1:10" ht="15" customHeight="1" x14ac:dyDescent="0.3">
      <c r="A4" s="4" t="s">
        <v>305</v>
      </c>
      <c r="B4" s="4" t="s">
        <v>306</v>
      </c>
      <c r="C4" s="4" t="s">
        <v>307</v>
      </c>
      <c r="D4" s="4">
        <v>20</v>
      </c>
      <c r="E4" s="4">
        <v>6</v>
      </c>
      <c r="F4" s="4">
        <v>12</v>
      </c>
      <c r="G4" s="4">
        <v>85</v>
      </c>
      <c r="H4" s="8">
        <f>0.6*0.67*E4*PI()*D4^2/4*830/1000</f>
        <v>628.93428287806205</v>
      </c>
      <c r="I4" s="8">
        <f>0.67*355*F4*D4/1000</f>
        <v>57.08400000000001</v>
      </c>
      <c r="J4" s="4" t="s">
        <v>308</v>
      </c>
    </row>
    <row r="5" spans="1:10" ht="27.75" customHeight="1" x14ac:dyDescent="0.3">
      <c r="A5" s="4" t="s">
        <v>309</v>
      </c>
      <c r="B5" s="4" t="s">
        <v>310</v>
      </c>
      <c r="C5" s="4" t="s">
        <v>307</v>
      </c>
      <c r="D5" s="4">
        <v>20</v>
      </c>
      <c r="E5" s="4">
        <v>8</v>
      </c>
      <c r="F5" s="4">
        <v>12</v>
      </c>
      <c r="G5" s="4">
        <v>65</v>
      </c>
      <c r="H5" s="8">
        <f>0.6*0.67*E5*PI()*D5^2/4*830/1000</f>
        <v>838.57904383741629</v>
      </c>
      <c r="I5" s="8">
        <f>0.67*355*F5*D5/1000</f>
        <v>57.08400000000001</v>
      </c>
      <c r="J5" s="4" t="s">
        <v>311</v>
      </c>
    </row>
    <row r="6" spans="1:10" ht="27.75" customHeight="1" x14ac:dyDescent="0.3">
      <c r="A6" s="4" t="s">
        <v>312</v>
      </c>
      <c r="B6" s="4" t="s">
        <v>313</v>
      </c>
      <c r="C6" s="4" t="s">
        <v>307</v>
      </c>
      <c r="D6" s="4">
        <v>24</v>
      </c>
      <c r="E6" s="4">
        <v>4</v>
      </c>
      <c r="F6" s="4">
        <v>20</v>
      </c>
      <c r="G6" s="4">
        <v>55</v>
      </c>
      <c r="H6" s="8">
        <f>0.6*0.67*E6*PI()*D6^2/4*830/1000</f>
        <v>603.77691156293974</v>
      </c>
      <c r="I6" s="8">
        <f>0.67*355*F6*D6/1000</f>
        <v>114.16800000000001</v>
      </c>
      <c r="J6" s="4" t="s">
        <v>314</v>
      </c>
    </row>
    <row r="7" spans="1:10" ht="15" customHeight="1" x14ac:dyDescent="0.3">
      <c r="A7" s="4" t="s">
        <v>315</v>
      </c>
      <c r="B7" s="4" t="s">
        <v>316</v>
      </c>
      <c r="C7" s="4" t="s">
        <v>307</v>
      </c>
      <c r="D7" s="4">
        <v>20</v>
      </c>
      <c r="E7" s="4">
        <v>4</v>
      </c>
      <c r="F7" s="4">
        <v>10</v>
      </c>
      <c r="G7" s="4">
        <v>15</v>
      </c>
      <c r="H7" s="8">
        <f>0.6*0.67*E7*PI()*D7^2/4*830/1000</f>
        <v>419.28952191870815</v>
      </c>
      <c r="I7" s="8">
        <f>0.67*355*F7*D7/1000</f>
        <v>47.57</v>
      </c>
      <c r="J7" s="4" t="s">
        <v>317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"/>
  <sheetViews>
    <sheetView showGridLines="0" zoomScaleNormal="100" workbookViewId="0">
      <pane ySplit="1" topLeftCell="A2" activePane="bottomLeft" state="frozen"/>
      <selection pane="bottomLeft" sqref="A1:L1"/>
    </sheetView>
  </sheetViews>
  <sheetFormatPr defaultColWidth="8.6640625" defaultRowHeight="15" customHeight="1" x14ac:dyDescent="0.3"/>
  <cols>
    <col min="1" max="1" width="22" style="1" customWidth="1"/>
    <col min="2" max="11" width="18" style="1" customWidth="1"/>
    <col min="12" max="12" width="55" style="1" customWidth="1"/>
  </cols>
  <sheetData>
    <row r="1" spans="1:12" ht="17.25" customHeight="1" x14ac:dyDescent="0.3">
      <c r="A1" s="15" t="s">
        <v>318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15" customHeight="1" x14ac:dyDescent="0.3">
      <c r="A3" s="2" t="s">
        <v>0</v>
      </c>
      <c r="B3" s="2" t="s">
        <v>24</v>
      </c>
      <c r="C3" s="2" t="s">
        <v>25</v>
      </c>
      <c r="D3" s="2" t="s">
        <v>319</v>
      </c>
      <c r="E3" s="11" t="s">
        <v>304</v>
      </c>
      <c r="F3" s="11"/>
      <c r="G3" s="11"/>
      <c r="H3" s="11"/>
      <c r="I3" s="11"/>
      <c r="J3" s="11"/>
      <c r="K3" s="11"/>
      <c r="L3" s="11"/>
    </row>
    <row r="4" spans="1:12" ht="27.75" customHeight="1" x14ac:dyDescent="0.3">
      <c r="A4" s="4" t="s">
        <v>320</v>
      </c>
      <c r="B4" s="6">
        <v>250</v>
      </c>
      <c r="C4" s="4" t="s">
        <v>63</v>
      </c>
      <c r="D4" s="4" t="s">
        <v>321</v>
      </c>
    </row>
    <row r="5" spans="1:12" ht="27.75" customHeight="1" x14ac:dyDescent="0.3">
      <c r="A5" s="4" t="s">
        <v>322</v>
      </c>
      <c r="B5" s="6">
        <v>120</v>
      </c>
      <c r="C5" s="4" t="s">
        <v>323</v>
      </c>
      <c r="D5" s="4" t="s">
        <v>321</v>
      </c>
    </row>
    <row r="6" spans="1:12" ht="27.75" customHeight="1" x14ac:dyDescent="0.3">
      <c r="A6" s="4" t="s">
        <v>324</v>
      </c>
      <c r="B6" s="6">
        <v>55</v>
      </c>
      <c r="C6" s="4" t="s">
        <v>63</v>
      </c>
      <c r="D6" s="4" t="s">
        <v>321</v>
      </c>
    </row>
    <row r="7" spans="1:12" ht="15" customHeight="1" x14ac:dyDescent="0.3">
      <c r="A7" s="4" t="s">
        <v>325</v>
      </c>
      <c r="B7" s="6">
        <v>2.5</v>
      </c>
      <c r="C7" s="4" t="s">
        <v>28</v>
      </c>
      <c r="D7" s="4" t="s">
        <v>326</v>
      </c>
    </row>
    <row r="8" spans="1:12" ht="15" customHeight="1" x14ac:dyDescent="0.3">
      <c r="A8" s="4" t="s">
        <v>327</v>
      </c>
      <c r="B8" s="6">
        <v>2.5</v>
      </c>
      <c r="C8" s="4" t="s">
        <v>28</v>
      </c>
      <c r="D8" s="4" t="s">
        <v>326</v>
      </c>
    </row>
    <row r="9" spans="1:12" ht="15" customHeight="1" x14ac:dyDescent="0.3">
      <c r="A9" s="4" t="s">
        <v>328</v>
      </c>
      <c r="B9" s="6">
        <v>0.6</v>
      </c>
      <c r="C9" s="4" t="s">
        <v>28</v>
      </c>
      <c r="D9" s="4" t="s">
        <v>326</v>
      </c>
    </row>
    <row r="10" spans="1:12" ht="15" customHeight="1" x14ac:dyDescent="0.3">
      <c r="A10" s="4" t="s">
        <v>329</v>
      </c>
      <c r="B10" s="8">
        <f>B7*B8*B9*Inputs!B16</f>
        <v>90</v>
      </c>
      <c r="C10" s="4" t="s">
        <v>63</v>
      </c>
      <c r="D10" s="4" t="s">
        <v>330</v>
      </c>
    </row>
    <row r="11" spans="1:12" ht="15" customHeight="1" x14ac:dyDescent="0.3">
      <c r="A11" s="4" t="s">
        <v>331</v>
      </c>
      <c r="B11" s="8">
        <f>B7*B8</f>
        <v>6.25</v>
      </c>
      <c r="C11" s="4" t="s">
        <v>332</v>
      </c>
      <c r="D11" s="4" t="s">
        <v>333</v>
      </c>
    </row>
    <row r="12" spans="1:12" ht="27.75" customHeight="1" x14ac:dyDescent="0.3">
      <c r="A12" s="4" t="s">
        <v>334</v>
      </c>
      <c r="B12" s="8">
        <f>B4+B10</f>
        <v>340</v>
      </c>
      <c r="C12" s="4" t="s">
        <v>63</v>
      </c>
      <c r="D12" s="4" t="s">
        <v>335</v>
      </c>
    </row>
    <row r="13" spans="1:12" ht="15" customHeight="1" x14ac:dyDescent="0.3">
      <c r="A13" s="4" t="s">
        <v>336</v>
      </c>
      <c r="B13" s="8">
        <f>B5/B12</f>
        <v>0.35294117647058826</v>
      </c>
      <c r="C13" s="4" t="s">
        <v>28</v>
      </c>
      <c r="D13" s="4" t="s">
        <v>337</v>
      </c>
    </row>
    <row r="14" spans="1:12" ht="15" customHeight="1" x14ac:dyDescent="0.3">
      <c r="A14" s="4" t="s">
        <v>338</v>
      </c>
      <c r="B14" s="8">
        <f>B12/B11*(1+6*B13/B7)</f>
        <v>100.48</v>
      </c>
      <c r="C14" s="4" t="s">
        <v>55</v>
      </c>
      <c r="D14" s="4" t="s">
        <v>339</v>
      </c>
    </row>
    <row r="15" spans="1:12" ht="15" customHeight="1" x14ac:dyDescent="0.3">
      <c r="A15" s="4" t="s">
        <v>340</v>
      </c>
      <c r="B15" s="8">
        <f>B12/B11*(1-6*B13/B7)</f>
        <v>8.32</v>
      </c>
      <c r="C15" s="4" t="s">
        <v>55</v>
      </c>
      <c r="D15" s="4" t="s">
        <v>341</v>
      </c>
    </row>
    <row r="16" spans="1:12" ht="15" customHeight="1" x14ac:dyDescent="0.3">
      <c r="A16" s="4" t="s">
        <v>342</v>
      </c>
      <c r="B16" s="8">
        <f>B14/Inputs!B38</f>
        <v>0.66986666666666672</v>
      </c>
      <c r="C16" s="4" t="s">
        <v>343</v>
      </c>
      <c r="D16" s="4" t="s">
        <v>344</v>
      </c>
    </row>
    <row r="17" spans="1:4" ht="15" customHeight="1" x14ac:dyDescent="0.3">
      <c r="A17" s="4" t="s">
        <v>345</v>
      </c>
      <c r="B17" s="8">
        <f>B12*Inputs!B40</f>
        <v>153</v>
      </c>
      <c r="C17" s="4" t="s">
        <v>63</v>
      </c>
      <c r="D17" s="4" t="s">
        <v>346</v>
      </c>
    </row>
    <row r="18" spans="1:4" ht="15" customHeight="1" x14ac:dyDescent="0.3">
      <c r="A18" s="4" t="s">
        <v>347</v>
      </c>
      <c r="B18" s="8">
        <f>B6/B17</f>
        <v>0.35947712418300654</v>
      </c>
      <c r="C18" s="4" t="s">
        <v>343</v>
      </c>
      <c r="D18" s="4" t="s">
        <v>348</v>
      </c>
    </row>
    <row r="19" spans="1:4" ht="15" customHeight="1" x14ac:dyDescent="0.3">
      <c r="A19" s="4" t="s">
        <v>349</v>
      </c>
      <c r="B19" s="8">
        <f>B12*(B7/2)</f>
        <v>425</v>
      </c>
      <c r="C19" s="4" t="s">
        <v>323</v>
      </c>
      <c r="D19" s="4" t="s">
        <v>350</v>
      </c>
    </row>
    <row r="20" spans="1:4" ht="15" customHeight="1" x14ac:dyDescent="0.3">
      <c r="A20" s="4" t="s">
        <v>351</v>
      </c>
      <c r="B20" s="8">
        <f>B5/B19</f>
        <v>0.28235294117647058</v>
      </c>
      <c r="C20" s="4" t="s">
        <v>343</v>
      </c>
      <c r="D20" s="4" t="s">
        <v>352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"/>
  <sheetViews>
    <sheetView showGridLines="0" zoomScaleNormal="100" workbookViewId="0">
      <pane ySplit="1" topLeftCell="A2" activePane="bottomLeft" state="frozen"/>
      <selection pane="bottomLeft" sqref="A1:J1"/>
    </sheetView>
  </sheetViews>
  <sheetFormatPr defaultColWidth="8.6640625" defaultRowHeight="15" customHeight="1" x14ac:dyDescent="0.3"/>
  <cols>
    <col min="1" max="1" width="24" style="1" customWidth="1"/>
    <col min="2" max="9" width="18" style="1" customWidth="1"/>
    <col min="10" max="10" width="55" style="1" customWidth="1"/>
  </cols>
  <sheetData>
    <row r="1" spans="1:10" ht="17.25" customHeight="1" x14ac:dyDescent="0.3">
      <c r="A1" s="15" t="s">
        <v>353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" customHeight="1" x14ac:dyDescent="0.3">
      <c r="A3" s="2" t="s">
        <v>23</v>
      </c>
      <c r="B3" s="2" t="s">
        <v>24</v>
      </c>
      <c r="C3" s="2" t="s">
        <v>25</v>
      </c>
      <c r="D3" s="2" t="s">
        <v>183</v>
      </c>
      <c r="E3" s="2" t="s">
        <v>354</v>
      </c>
      <c r="F3" s="2" t="s">
        <v>355</v>
      </c>
      <c r="G3" s="2" t="s">
        <v>356</v>
      </c>
      <c r="H3" s="2" t="s">
        <v>273</v>
      </c>
      <c r="I3" s="2" t="s">
        <v>293</v>
      </c>
      <c r="J3" s="2" t="s">
        <v>304</v>
      </c>
    </row>
    <row r="4" spans="1:10" ht="15" customHeight="1" x14ac:dyDescent="0.3">
      <c r="A4" s="4" t="s">
        <v>357</v>
      </c>
      <c r="B4" s="6">
        <v>0.14000000000000001</v>
      </c>
      <c r="C4" s="4" t="s">
        <v>28</v>
      </c>
      <c r="D4" s="4" t="s">
        <v>186</v>
      </c>
      <c r="E4" s="4"/>
      <c r="F4" s="4"/>
      <c r="G4" s="4"/>
      <c r="H4" s="4"/>
      <c r="I4" s="4" t="s">
        <v>358</v>
      </c>
      <c r="J4" s="4" t="s">
        <v>359</v>
      </c>
    </row>
    <row r="5" spans="1:10" ht="15" customHeight="1" x14ac:dyDescent="0.3">
      <c r="A5" s="4" t="s">
        <v>360</v>
      </c>
      <c r="B5" s="6">
        <v>7.5</v>
      </c>
      <c r="C5" s="4" t="s">
        <v>28</v>
      </c>
      <c r="D5" s="4" t="s">
        <v>186</v>
      </c>
      <c r="E5" s="4"/>
      <c r="F5" s="4"/>
      <c r="G5" s="4"/>
      <c r="H5" s="4"/>
      <c r="I5" s="4" t="s">
        <v>358</v>
      </c>
      <c r="J5" s="4" t="s">
        <v>361</v>
      </c>
    </row>
    <row r="6" spans="1:10" ht="15" customHeight="1" x14ac:dyDescent="0.3">
      <c r="A6" s="4" t="s">
        <v>362</v>
      </c>
      <c r="B6" s="6">
        <v>6</v>
      </c>
      <c r="C6" s="4" t="s">
        <v>28</v>
      </c>
      <c r="D6" s="4" t="s">
        <v>186</v>
      </c>
      <c r="E6" s="4"/>
      <c r="F6" s="4"/>
      <c r="G6" s="4"/>
      <c r="H6" s="4"/>
      <c r="I6" s="4" t="s">
        <v>358</v>
      </c>
      <c r="J6" s="4" t="s">
        <v>33</v>
      </c>
    </row>
    <row r="7" spans="1:10" ht="15" customHeight="1" x14ac:dyDescent="0.3">
      <c r="A7" s="4" t="s">
        <v>363</v>
      </c>
      <c r="B7" s="6">
        <v>18</v>
      </c>
      <c r="C7" s="4" t="s">
        <v>46</v>
      </c>
      <c r="D7" s="4" t="s">
        <v>186</v>
      </c>
      <c r="E7" s="4"/>
      <c r="F7" s="4"/>
      <c r="G7" s="4"/>
      <c r="H7" s="4"/>
      <c r="I7" s="4" t="s">
        <v>358</v>
      </c>
      <c r="J7" s="4"/>
    </row>
    <row r="8" spans="1:10" ht="27.75" customHeight="1" x14ac:dyDescent="0.3">
      <c r="A8" s="4" t="s">
        <v>364</v>
      </c>
      <c r="B8" s="6">
        <v>5</v>
      </c>
      <c r="C8" s="4" t="s">
        <v>41</v>
      </c>
      <c r="D8" s="4" t="s">
        <v>186</v>
      </c>
      <c r="E8" s="4"/>
      <c r="F8" s="4"/>
      <c r="G8" s="4"/>
      <c r="H8" s="4"/>
      <c r="I8" s="4" t="s">
        <v>144</v>
      </c>
      <c r="J8" s="4" t="s">
        <v>365</v>
      </c>
    </row>
    <row r="9" spans="1:10" ht="15" customHeight="1" x14ac:dyDescent="0.3">
      <c r="A9" s="4" t="s">
        <v>366</v>
      </c>
      <c r="B9" s="8">
        <f>MAX(ABS(Wind!B12),ABS(Wind!B13))</f>
        <v>0.32272732799999992</v>
      </c>
      <c r="C9" s="4" t="s">
        <v>55</v>
      </c>
      <c r="D9" s="4" t="s">
        <v>367</v>
      </c>
      <c r="E9" s="4"/>
      <c r="F9" s="4"/>
      <c r="G9" s="4"/>
      <c r="H9" s="4"/>
      <c r="I9" s="4" t="s">
        <v>117</v>
      </c>
      <c r="J9" s="4"/>
    </row>
    <row r="10" spans="1:10" ht="27.75" customHeight="1" x14ac:dyDescent="0.3">
      <c r="A10" s="4" t="s">
        <v>368</v>
      </c>
      <c r="B10" s="6">
        <v>0.125</v>
      </c>
      <c r="C10" s="4"/>
      <c r="D10" s="4" t="s">
        <v>369</v>
      </c>
      <c r="E10" s="4"/>
      <c r="F10" s="4"/>
      <c r="G10" s="4"/>
      <c r="H10" s="4"/>
      <c r="I10" s="4" t="s">
        <v>370</v>
      </c>
      <c r="J10" s="4" t="s">
        <v>371</v>
      </c>
    </row>
    <row r="11" spans="1:10" ht="15" customHeight="1" x14ac:dyDescent="0.3">
      <c r="A11" s="4" t="s">
        <v>372</v>
      </c>
      <c r="B11" s="8">
        <f>B9*B10*B8^2</f>
        <v>1.0085228999999998</v>
      </c>
      <c r="C11" s="4" t="s">
        <v>373</v>
      </c>
      <c r="D11" s="4" t="s">
        <v>374</v>
      </c>
      <c r="E11" s="4"/>
      <c r="F11" s="4"/>
      <c r="G11" s="4"/>
      <c r="H11" s="4"/>
      <c r="I11" s="4" t="s">
        <v>375</v>
      </c>
      <c r="J11" s="4"/>
    </row>
    <row r="12" spans="1:10" ht="27.75" customHeight="1" x14ac:dyDescent="0.3">
      <c r="A12" s="4" t="s">
        <v>376</v>
      </c>
      <c r="B12" s="8">
        <f>B5*B4^2/6</f>
        <v>2.4500000000000004E-2</v>
      </c>
      <c r="C12" s="4" t="s">
        <v>377</v>
      </c>
      <c r="D12" s="4" t="s">
        <v>378</v>
      </c>
      <c r="E12" s="4"/>
      <c r="F12" s="4"/>
      <c r="G12" s="4"/>
      <c r="H12" s="4"/>
      <c r="I12" s="4" t="s">
        <v>379</v>
      </c>
      <c r="J12" s="4"/>
    </row>
    <row r="13" spans="1:10" ht="15" customHeight="1" x14ac:dyDescent="0.3">
      <c r="A13" s="4" t="s">
        <v>380</v>
      </c>
      <c r="B13" s="8">
        <f>B11/B12*1000</f>
        <v>41164.19999999999</v>
      </c>
      <c r="C13" s="4" t="s">
        <v>41</v>
      </c>
      <c r="D13" s="4" t="s">
        <v>381</v>
      </c>
      <c r="E13" s="8">
        <f>B13</f>
        <v>41164.19999999999</v>
      </c>
      <c r="F13" s="8">
        <f>B14</f>
        <v>53.571428571428569</v>
      </c>
      <c r="G13" s="8">
        <f>E13/F13</f>
        <v>768.39839999999981</v>
      </c>
      <c r="H13" s="8" t="str">
        <f>IF(G13&lt;=1,"PASS","FAIL")</f>
        <v>FAIL</v>
      </c>
      <c r="I13" s="4" t="s">
        <v>375</v>
      </c>
      <c r="J13" s="4"/>
    </row>
    <row r="14" spans="1:10" ht="15" customHeight="1" x14ac:dyDescent="0.3">
      <c r="A14" s="4" t="s">
        <v>382</v>
      </c>
      <c r="B14" s="8">
        <f>B5/B4</f>
        <v>53.571428571428569</v>
      </c>
      <c r="C14" s="4" t="s">
        <v>343</v>
      </c>
      <c r="D14" s="4" t="s">
        <v>383</v>
      </c>
      <c r="E14" s="4"/>
      <c r="F14" s="4"/>
      <c r="G14" s="4"/>
      <c r="H14" s="4"/>
      <c r="I14" s="4" t="s">
        <v>358</v>
      </c>
      <c r="J14" s="4"/>
    </row>
    <row r="15" spans="1:10" ht="27.75" customHeight="1" x14ac:dyDescent="0.3">
      <c r="A15" s="4" t="s">
        <v>384</v>
      </c>
      <c r="B15" s="8">
        <f>0.25*B8</f>
        <v>1.25</v>
      </c>
      <c r="C15" s="4" t="s">
        <v>41</v>
      </c>
      <c r="D15" s="4" t="s">
        <v>385</v>
      </c>
      <c r="E15" s="8">
        <f>B15</f>
        <v>1.25</v>
      </c>
      <c r="F15" s="8">
        <v>20</v>
      </c>
      <c r="G15" s="8">
        <f>E15/F15</f>
        <v>6.25E-2</v>
      </c>
      <c r="H15" s="8" t="str">
        <f>IF(G15&lt;=1,"PASS","FAIL")</f>
        <v>PASS</v>
      </c>
      <c r="I15" s="4" t="s">
        <v>386</v>
      </c>
      <c r="J15" s="4" t="s">
        <v>387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showGridLines="0" zoomScaleNormal="100" workbookViewId="0">
      <pane ySplit="1" topLeftCell="A2" activePane="bottomLeft" state="frozen"/>
      <selection pane="bottomLeft" activeCell="C19" sqref="C19"/>
    </sheetView>
  </sheetViews>
  <sheetFormatPr defaultColWidth="8.6640625" defaultRowHeight="15" customHeight="1" x14ac:dyDescent="0.3"/>
  <cols>
    <col min="1" max="1" width="40" style="1" customWidth="1"/>
    <col min="2" max="2" width="18" style="1" customWidth="1"/>
    <col min="3" max="3" width="70" style="1" customWidth="1"/>
  </cols>
  <sheetData>
    <row r="1" spans="1:3" ht="17.25" customHeight="1" x14ac:dyDescent="0.3">
      <c r="A1" s="15" t="s">
        <v>388</v>
      </c>
      <c r="B1" s="15"/>
      <c r="C1" s="15"/>
    </row>
    <row r="3" spans="1:3" ht="15" customHeight="1" x14ac:dyDescent="0.3">
      <c r="A3" s="2" t="s">
        <v>389</v>
      </c>
      <c r="B3" s="2" t="s">
        <v>273</v>
      </c>
      <c r="C3" s="2" t="s">
        <v>432</v>
      </c>
    </row>
    <row r="4" spans="1:3" ht="15" customHeight="1" x14ac:dyDescent="0.3">
      <c r="A4" s="4" t="s">
        <v>390</v>
      </c>
      <c r="B4" s="14" t="s">
        <v>430</v>
      </c>
      <c r="C4" s="4" t="s">
        <v>431</v>
      </c>
    </row>
    <row r="5" spans="1:3" ht="15" customHeight="1" x14ac:dyDescent="0.3">
      <c r="A5" s="4" t="s">
        <v>391</v>
      </c>
      <c r="B5" s="14" t="s">
        <v>430</v>
      </c>
      <c r="C5" s="4" t="s">
        <v>431</v>
      </c>
    </row>
    <row r="6" spans="1:3" ht="15" customHeight="1" x14ac:dyDescent="0.3">
      <c r="A6" s="4" t="s">
        <v>392</v>
      </c>
      <c r="B6" s="14" t="s">
        <v>430</v>
      </c>
      <c r="C6" s="4" t="s">
        <v>431</v>
      </c>
    </row>
    <row r="7" spans="1:3" ht="15" customHeight="1" x14ac:dyDescent="0.3">
      <c r="A7" s="4" t="s">
        <v>393</v>
      </c>
      <c r="B7" s="14" t="s">
        <v>430</v>
      </c>
      <c r="C7" s="4" t="s">
        <v>431</v>
      </c>
    </row>
    <row r="8" spans="1:3" ht="15" customHeight="1" x14ac:dyDescent="0.3">
      <c r="A8" s="4" t="s">
        <v>394</v>
      </c>
      <c r="B8" s="14" t="s">
        <v>430</v>
      </c>
      <c r="C8" s="4" t="s">
        <v>431</v>
      </c>
    </row>
    <row r="9" spans="1:3" ht="15" customHeight="1" x14ac:dyDescent="0.3">
      <c r="A9" s="4" t="s">
        <v>395</v>
      </c>
      <c r="B9" s="14" t="s">
        <v>430</v>
      </c>
      <c r="C9" s="4" t="s">
        <v>431</v>
      </c>
    </row>
    <row r="10" spans="1:3" ht="15" customHeight="1" x14ac:dyDescent="0.3">
      <c r="A10" s="4" t="s">
        <v>396</v>
      </c>
      <c r="B10" s="14" t="s">
        <v>430</v>
      </c>
      <c r="C10" s="4" t="s">
        <v>431</v>
      </c>
    </row>
    <row r="11" spans="1:3" ht="27.75" customHeight="1" x14ac:dyDescent="0.3">
      <c r="A11" s="4" t="s">
        <v>397</v>
      </c>
      <c r="B11" s="14" t="s">
        <v>430</v>
      </c>
      <c r="C11" s="4" t="s">
        <v>431</v>
      </c>
    </row>
    <row r="12" spans="1:3" ht="15" customHeight="1" x14ac:dyDescent="0.3">
      <c r="A12" s="4" t="s">
        <v>398</v>
      </c>
      <c r="B12" s="14" t="s">
        <v>430</v>
      </c>
      <c r="C12" s="4" t="s">
        <v>431</v>
      </c>
    </row>
    <row r="13" spans="1:3" ht="15" customHeight="1" x14ac:dyDescent="0.3">
      <c r="A13" s="4" t="s">
        <v>399</v>
      </c>
      <c r="B13" s="14" t="s">
        <v>430</v>
      </c>
      <c r="C13" s="4" t="s">
        <v>431</v>
      </c>
    </row>
    <row r="14" spans="1:3" ht="15" customHeight="1" x14ac:dyDescent="0.3">
      <c r="A14" s="4" t="s">
        <v>400</v>
      </c>
      <c r="B14" s="14" t="s">
        <v>430</v>
      </c>
      <c r="C14" s="4" t="s">
        <v>431</v>
      </c>
    </row>
    <row r="15" spans="1:3" ht="15" customHeight="1" x14ac:dyDescent="0.3">
      <c r="A15" s="4" t="s">
        <v>401</v>
      </c>
      <c r="B15" s="14" t="s">
        <v>430</v>
      </c>
      <c r="C15" s="4" t="s">
        <v>431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6"/>
  <sheetViews>
    <sheetView showGridLines="0" zoomScaleNormal="100" workbookViewId="0">
      <pane ySplit="1" topLeftCell="A2" activePane="bottomLeft" state="frozen"/>
      <selection pane="bottomLeft" sqref="A1:B1"/>
    </sheetView>
  </sheetViews>
  <sheetFormatPr defaultColWidth="8.6640625" defaultRowHeight="15" customHeight="1" x14ac:dyDescent="0.3"/>
  <cols>
    <col min="1" max="1" width="32" style="1" customWidth="1"/>
    <col min="2" max="2" width="85" style="1" customWidth="1"/>
  </cols>
  <sheetData>
    <row r="1" spans="1:2" ht="17.25" customHeight="1" x14ac:dyDescent="0.3">
      <c r="A1" s="15" t="s">
        <v>402</v>
      </c>
      <c r="B1" s="15"/>
    </row>
    <row r="3" spans="1:2" ht="15" customHeight="1" x14ac:dyDescent="0.3">
      <c r="A3" s="2" t="s">
        <v>389</v>
      </c>
      <c r="B3" s="2" t="s">
        <v>403</v>
      </c>
    </row>
    <row r="4" spans="1:2" ht="15" customHeight="1" x14ac:dyDescent="0.3">
      <c r="A4" s="4" t="s">
        <v>404</v>
      </c>
      <c r="B4" s="4" t="s">
        <v>405</v>
      </c>
    </row>
    <row r="5" spans="1:2" ht="15" customHeight="1" x14ac:dyDescent="0.3">
      <c r="A5" s="4" t="s">
        <v>406</v>
      </c>
      <c r="B5" s="4" t="s">
        <v>407</v>
      </c>
    </row>
    <row r="6" spans="1:2" ht="15" customHeight="1" x14ac:dyDescent="0.3">
      <c r="A6" s="4" t="s">
        <v>408</v>
      </c>
      <c r="B6" s="4" t="s">
        <v>409</v>
      </c>
    </row>
    <row r="7" spans="1:2" ht="15" customHeight="1" x14ac:dyDescent="0.3">
      <c r="A7" s="4" t="s">
        <v>366</v>
      </c>
      <c r="B7" s="4" t="s">
        <v>410</v>
      </c>
    </row>
    <row r="8" spans="1:2" ht="15" customHeight="1" x14ac:dyDescent="0.3">
      <c r="A8" s="4" t="s">
        <v>411</v>
      </c>
      <c r="B8" s="4" t="s">
        <v>412</v>
      </c>
    </row>
    <row r="9" spans="1:2" ht="27.75" customHeight="1" x14ac:dyDescent="0.3">
      <c r="A9" s="4" t="s">
        <v>413</v>
      </c>
      <c r="B9" s="4" t="s">
        <v>414</v>
      </c>
    </row>
    <row r="10" spans="1:2" ht="15" customHeight="1" x14ac:dyDescent="0.3">
      <c r="A10" s="4" t="s">
        <v>415</v>
      </c>
      <c r="B10" s="4" t="s">
        <v>416</v>
      </c>
    </row>
    <row r="11" spans="1:2" ht="15" customHeight="1" x14ac:dyDescent="0.3">
      <c r="A11" s="4" t="s">
        <v>417</v>
      </c>
      <c r="B11" s="4" t="s">
        <v>418</v>
      </c>
    </row>
    <row r="12" spans="1:2" ht="15" customHeight="1" x14ac:dyDescent="0.3">
      <c r="A12" s="4" t="s">
        <v>419</v>
      </c>
      <c r="B12" s="4" t="s">
        <v>420</v>
      </c>
    </row>
    <row r="13" spans="1:2" ht="15" customHeight="1" x14ac:dyDescent="0.3">
      <c r="A13" s="4" t="s">
        <v>421</v>
      </c>
      <c r="B13" s="4" t="s">
        <v>422</v>
      </c>
    </row>
    <row r="14" spans="1:2" ht="15" customHeight="1" x14ac:dyDescent="0.3">
      <c r="A14" s="4" t="s">
        <v>423</v>
      </c>
      <c r="B14" s="4" t="s">
        <v>424</v>
      </c>
    </row>
    <row r="15" spans="1:2" ht="27.75" customHeight="1" x14ac:dyDescent="0.3">
      <c r="A15" s="4" t="s">
        <v>425</v>
      </c>
      <c r="B15" s="4" t="s">
        <v>426</v>
      </c>
    </row>
    <row r="16" spans="1:2" ht="27.75" customHeight="1" x14ac:dyDescent="0.3">
      <c r="A16" s="4" t="s">
        <v>427</v>
      </c>
      <c r="B16" s="4" t="s">
        <v>428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Scope</vt:lpstr>
      <vt:lpstr>Inputs</vt:lpstr>
      <vt:lpstr>Standards</vt:lpstr>
      <vt:lpstr>Loads</vt:lpstr>
      <vt:lpstr>Wind</vt:lpstr>
      <vt:lpstr>Combinations</vt:lpstr>
      <vt:lpstr>Sections</vt:lpstr>
      <vt:lpstr>Member_Checks</vt:lpstr>
      <vt:lpstr>Steel_Detailed</vt:lpstr>
      <vt:lpstr>Connections</vt:lpstr>
      <vt:lpstr>Foundations</vt:lpstr>
      <vt:lpstr>Masonry</vt:lpstr>
      <vt:lpstr>QA_Checklist</vt:lpstr>
      <vt:lpstr>Formula_Notes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2026-10-08T09:31:23Z</dcterms:created>
  <dcterms:modified xsi:type="dcterms:W3CDTF">2026-10-09T10:09:43Z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2026-10-07T11:48:00Z</dcterms:created>
  <dc:creator>OpenAI — generated design-development aid</dc:creator>
  <dc:description/>
  <dc:language>en-US</dc:language>
  <cp:lastModifiedBy/>
  <dcterms:modified xsi:type="dcterms:W3CDTF">2026-10-07T11:48:15Z</dcterms:modified>
  <cp:revision>0</cp:revision>
  <dc:subject>Preliminary parameter-driven structural design workbook</dc:subject>
  <dc:title>Durban KZN Warehouse — SANS Structural Design</dc:title>
</cp:coreProperties>
</file>