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phuthando M Mkhize\OneDrive\Desktop\Portfolio\1 Way Slab design\"/>
    </mc:Choice>
  </mc:AlternateContent>
  <xr:revisionPtr revIDLastSave="0" documentId="8_{D8E73038-57ED-45A1-8BA2-109BEF4E5D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&amp; Parameters" sheetId="1" r:id="rId1"/>
    <sheet name="Design Calculations" sheetId="2" r:id="rId2"/>
    <sheet name="Reinforcement Schedul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C6" i="2" s="1"/>
  <c r="C7" i="2" s="1"/>
  <c r="C9" i="2" s="1"/>
  <c r="C8" i="2" l="1"/>
</calcChain>
</file>

<file path=xl/sharedStrings.xml><?xml version="1.0" encoding="utf-8"?>
<sst xmlns="http://schemas.openxmlformats.org/spreadsheetml/2006/main" count="93" uniqueCount="75">
  <si>
    <t>ONE-WAY REINFORCED CONCRETE SLAB DESIGN SHEET</t>
  </si>
  <si>
    <t>Based on SANS 10100-1 | Location: Durban, South Africa</t>
  </si>
  <si>
    <t>Parameter</t>
  </si>
  <si>
    <t>Value</t>
  </si>
  <si>
    <t>Unit</t>
  </si>
  <si>
    <t>Notes / Description</t>
  </si>
  <si>
    <t>Span (Lx)</t>
  </si>
  <si>
    <t>m</t>
  </si>
  <si>
    <t>Clear short span</t>
  </si>
  <si>
    <t>Slab Thickness (h)</t>
  </si>
  <si>
    <t>mm</t>
  </si>
  <si>
    <t>Adopted total thickness</t>
  </si>
  <si>
    <t>Effective Depth (d)</t>
  </si>
  <si>
    <t>Calculated to centroid of main steel</t>
  </si>
  <si>
    <t>Concrete Strength (fcu)</t>
  </si>
  <si>
    <t>MPa</t>
  </si>
  <si>
    <t>Grade 30 (Durban coastal durability)</t>
  </si>
  <si>
    <t>Steel Yield Strength (fy)</t>
  </si>
  <si>
    <t>High-yield deformed bars</t>
  </si>
  <si>
    <t>Concrete Density (γc)</t>
  </si>
  <si>
    <t>kN/m³</t>
  </si>
  <si>
    <t>Reinforced concrete density</t>
  </si>
  <si>
    <t>Finishes &amp; Services (Gk2)</t>
  </si>
  <si>
    <t>kN/m²</t>
  </si>
  <si>
    <t>Floor screed + ceiling</t>
  </si>
  <si>
    <t>Live Load (Qk)</t>
  </si>
  <si>
    <t>Typical residential / office</t>
  </si>
  <si>
    <t>Nominal Cover (c)</t>
  </si>
  <si>
    <t>Mild exposure adjusted for coast</t>
  </si>
  <si>
    <t>Ultimate Design Load (n)</t>
  </si>
  <si>
    <t>1.2Gk + 1.6Qk</t>
  </si>
  <si>
    <t>DETAILED STRUCTURAL DESIGN CALCULATIONS</t>
  </si>
  <si>
    <t>Calculation Step</t>
  </si>
  <si>
    <t>Result</t>
  </si>
  <si>
    <t>Status / Check</t>
  </si>
  <si>
    <t>Self-Weight (Gk1)</t>
  </si>
  <si>
    <t>Calculated</t>
  </si>
  <si>
    <t>Total Dead Load (Gk)</t>
  </si>
  <si>
    <t>SANS 10100 Factor Check</t>
  </si>
  <si>
    <t>Max Bending Moment (M)</t>
  </si>
  <si>
    <t>kNm/m</t>
  </si>
  <si>
    <t>Simply Supported / Continuous</t>
  </si>
  <si>
    <t>Max Shear Force (V)</t>
  </si>
  <si>
    <t>kN/m</t>
  </si>
  <si>
    <t>Critical shear section</t>
  </si>
  <si>
    <t>Design Constant (K)</t>
  </si>
  <si>
    <t>-</t>
  </si>
  <si>
    <t>K &lt; 0.156 (No compr. steel)</t>
  </si>
  <si>
    <t>Lever Arm (z)</t>
  </si>
  <si>
    <t>Governed by 0.95d limit</t>
  </si>
  <si>
    <t>Required Steel Area (As,req)</t>
  </si>
  <si>
    <t>mm²/m</t>
  </si>
  <si>
    <t>Flexural requirement</t>
  </si>
  <si>
    <t>Min Steel Area (As,min)</t>
  </si>
  <si>
    <t>SANS minimum requirement</t>
  </si>
  <si>
    <t>Design Shear Stress (ν)</t>
  </si>
  <si>
    <t>Shear check</t>
  </si>
  <si>
    <t>Allowable Shear Stress (νc)</t>
  </si>
  <si>
    <t>ν &lt; νc (PASS)</t>
  </si>
  <si>
    <t>Span-to-Depth Ratio (L/d)</t>
  </si>
  <si>
    <t>Deflection check satisfied</t>
  </si>
  <si>
    <t>REINFORCEMENT SCHEDULE &amp; BAR SPECIFICATIONS</t>
  </si>
  <si>
    <t>Location / Element</t>
  </si>
  <si>
    <t>Bar Type</t>
  </si>
  <si>
    <t>Diameter (mm)</t>
  </si>
  <si>
    <t>Spacing (mm)</t>
  </si>
  <si>
    <t>Provided Area (mm²/m)</t>
  </si>
  <si>
    <t>Status</t>
  </si>
  <si>
    <t>Main Flexural Steel (Bottom)</t>
  </si>
  <si>
    <t>Y (High Yield)</t>
  </si>
  <si>
    <t>PASS (As,prov &gt; As,req)</t>
  </si>
  <si>
    <t>Distribution Steel (Transverse)</t>
  </si>
  <si>
    <t>PASS (As,dist &gt; 210)</t>
  </si>
  <si>
    <t>Edge / Top Anchor Bars</t>
  </si>
  <si>
    <t>Standard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</si>
</sst>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2F4F4F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5"/>
  <sheetViews>
    <sheetView tabSelected="1" workbookViewId="0">
      <selection activeCell="B28" sqref="B28"/>
    </sheetView>
  </sheetViews>
  <sheetFormatPr defaultRowHeight="14.4"/>
  <cols>
    <col min="1" max="1" width="12" customWidth="1"/>
    <col min="2" max="2" width="58" customWidth="1"/>
    <col min="3" max="4" width="12" customWidth="1"/>
    <col min="5" max="5" width="40" customWidth="1"/>
  </cols>
  <sheetData>
    <row r="2" spans="2:5" ht="18">
      <c r="B2" s="1" t="s">
        <v>0</v>
      </c>
    </row>
    <row r="3" spans="2:5">
      <c r="B3" s="2" t="s">
        <v>1</v>
      </c>
    </row>
    <row r="5" spans="2:5">
      <c r="B5" s="3" t="s">
        <v>2</v>
      </c>
      <c r="C5" s="3" t="s">
        <v>3</v>
      </c>
      <c r="D5" s="3" t="s">
        <v>4</v>
      </c>
      <c r="E5" s="3" t="s">
        <v>5</v>
      </c>
    </row>
    <row r="6" spans="2:5">
      <c r="B6" s="4" t="s">
        <v>6</v>
      </c>
      <c r="C6" s="5">
        <v>4</v>
      </c>
      <c r="D6" s="4" t="s">
        <v>7</v>
      </c>
      <c r="E6" s="4" t="s">
        <v>8</v>
      </c>
    </row>
    <row r="7" spans="2:5">
      <c r="B7" s="4" t="s">
        <v>9</v>
      </c>
      <c r="C7" s="5">
        <v>175</v>
      </c>
      <c r="D7" s="4" t="s">
        <v>10</v>
      </c>
      <c r="E7" s="4" t="s">
        <v>11</v>
      </c>
    </row>
    <row r="8" spans="2:5">
      <c r="B8" s="4" t="s">
        <v>12</v>
      </c>
      <c r="C8" s="5">
        <v>139</v>
      </c>
      <c r="D8" s="4" t="s">
        <v>10</v>
      </c>
      <c r="E8" s="4" t="s">
        <v>13</v>
      </c>
    </row>
    <row r="9" spans="2:5">
      <c r="B9" s="4" t="s">
        <v>14</v>
      </c>
      <c r="C9" s="5">
        <v>30</v>
      </c>
      <c r="D9" s="4" t="s">
        <v>15</v>
      </c>
      <c r="E9" s="4" t="s">
        <v>16</v>
      </c>
    </row>
    <row r="10" spans="2:5">
      <c r="B10" s="4" t="s">
        <v>17</v>
      </c>
      <c r="C10" s="5">
        <v>450</v>
      </c>
      <c r="D10" s="4" t="s">
        <v>15</v>
      </c>
      <c r="E10" s="4" t="s">
        <v>18</v>
      </c>
    </row>
    <row r="11" spans="2:5">
      <c r="B11" s="4" t="s">
        <v>19</v>
      </c>
      <c r="C11" s="5">
        <v>25</v>
      </c>
      <c r="D11" s="4" t="s">
        <v>20</v>
      </c>
      <c r="E11" s="4" t="s">
        <v>21</v>
      </c>
    </row>
    <row r="12" spans="2:5">
      <c r="B12" s="4" t="s">
        <v>22</v>
      </c>
      <c r="C12" s="6">
        <v>1.5</v>
      </c>
      <c r="D12" s="4" t="s">
        <v>23</v>
      </c>
      <c r="E12" s="4" t="s">
        <v>24</v>
      </c>
    </row>
    <row r="13" spans="2:5">
      <c r="B13" s="4" t="s">
        <v>25</v>
      </c>
      <c r="C13" s="5">
        <v>3</v>
      </c>
      <c r="D13" s="4" t="s">
        <v>23</v>
      </c>
      <c r="E13" s="4" t="s">
        <v>26</v>
      </c>
    </row>
    <row r="14" spans="2:5">
      <c r="B14" s="4" t="s">
        <v>27</v>
      </c>
      <c r="C14" s="5">
        <v>30</v>
      </c>
      <c r="D14" s="4" t="s">
        <v>10</v>
      </c>
      <c r="E14" s="4" t="s">
        <v>28</v>
      </c>
    </row>
    <row r="15" spans="2:5">
      <c r="B15" s="4" t="s">
        <v>29</v>
      </c>
      <c r="C15" s="6">
        <v>11.86</v>
      </c>
      <c r="D15" s="4" t="s">
        <v>23</v>
      </c>
      <c r="E15" s="4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6"/>
  <sheetViews>
    <sheetView workbookViewId="0">
      <selection activeCell="I16" sqref="I16"/>
    </sheetView>
  </sheetViews>
  <sheetFormatPr defaultRowHeight="14.4"/>
  <cols>
    <col min="1" max="1" width="12" customWidth="1"/>
    <col min="2" max="2" width="43" customWidth="1"/>
    <col min="3" max="4" width="12" customWidth="1"/>
    <col min="5" max="5" width="33" customWidth="1"/>
  </cols>
  <sheetData>
    <row r="2" spans="2:5" ht="18">
      <c r="B2" s="1" t="s">
        <v>31</v>
      </c>
    </row>
    <row r="4" spans="2:5">
      <c r="B4" s="3" t="s">
        <v>32</v>
      </c>
      <c r="C4" s="3" t="s">
        <v>33</v>
      </c>
      <c r="D4" s="3" t="s">
        <v>4</v>
      </c>
      <c r="E4" s="3" t="s">
        <v>34</v>
      </c>
    </row>
    <row r="5" spans="2:5">
      <c r="B5" s="4" t="s">
        <v>35</v>
      </c>
      <c r="C5" s="6">
        <f>'Summary &amp; Parameters'!C7/40</f>
        <v>4.375</v>
      </c>
      <c r="D5" s="4" t="s">
        <v>23</v>
      </c>
      <c r="E5" s="4" t="s">
        <v>36</v>
      </c>
    </row>
    <row r="6" spans="2:5">
      <c r="B6" s="4" t="s">
        <v>37</v>
      </c>
      <c r="C6" s="6">
        <f>C5+'Summary &amp; Parameters'!C12</f>
        <v>5.875</v>
      </c>
      <c r="D6" s="4" t="s">
        <v>23</v>
      </c>
      <c r="E6" s="4" t="s">
        <v>36</v>
      </c>
    </row>
    <row r="7" spans="2:5">
      <c r="B7" s="4" t="s">
        <v>29</v>
      </c>
      <c r="C7" s="6">
        <f>1.2*C6+1.6*'Summary &amp; Parameters'!C13</f>
        <v>11.850000000000001</v>
      </c>
      <c r="D7" s="4" t="s">
        <v>23</v>
      </c>
      <c r="E7" s="4" t="s">
        <v>38</v>
      </c>
    </row>
    <row r="8" spans="2:5">
      <c r="B8" s="4" t="s">
        <v>39</v>
      </c>
      <c r="C8" s="6">
        <f>0.125*C7*('Summary &amp; Parameters'!C6*'Summary &amp; Parameters'!C6)</f>
        <v>23.700000000000003</v>
      </c>
      <c r="D8" s="4" t="s">
        <v>40</v>
      </c>
      <c r="E8" s="4" t="s">
        <v>41</v>
      </c>
    </row>
    <row r="9" spans="2:5">
      <c r="B9" s="4" t="s">
        <v>42</v>
      </c>
      <c r="C9" s="6">
        <f>0.5*C7*'Summary &amp; Parameters'!C6</f>
        <v>23.700000000000003</v>
      </c>
      <c r="D9" s="4" t="s">
        <v>43</v>
      </c>
      <c r="E9" s="4" t="s">
        <v>44</v>
      </c>
    </row>
    <row r="10" spans="2:5">
      <c r="B10" s="4" t="s">
        <v>45</v>
      </c>
      <c r="C10" s="6">
        <v>4.1000000000000002E-2</v>
      </c>
      <c r="D10" s="4" t="s">
        <v>46</v>
      </c>
      <c r="E10" s="4" t="s">
        <v>47</v>
      </c>
    </row>
    <row r="11" spans="2:5">
      <c r="B11" s="4" t="s">
        <v>48</v>
      </c>
      <c r="C11" s="6">
        <v>132.05000000000001</v>
      </c>
      <c r="D11" s="4" t="s">
        <v>10</v>
      </c>
      <c r="E11" s="4" t="s">
        <v>49</v>
      </c>
    </row>
    <row r="12" spans="2:5">
      <c r="B12" s="4" t="s">
        <v>50</v>
      </c>
      <c r="C12" s="6">
        <v>459</v>
      </c>
      <c r="D12" s="4" t="s">
        <v>51</v>
      </c>
      <c r="E12" s="4" t="s">
        <v>52</v>
      </c>
    </row>
    <row r="13" spans="2:5">
      <c r="B13" s="4" t="s">
        <v>53</v>
      </c>
      <c r="C13" s="6">
        <v>227.5</v>
      </c>
      <c r="D13" s="4" t="s">
        <v>51</v>
      </c>
      <c r="E13" s="4" t="s">
        <v>54</v>
      </c>
    </row>
    <row r="14" spans="2:5">
      <c r="B14" s="4" t="s">
        <v>55</v>
      </c>
      <c r="C14" s="6">
        <v>0.17100000000000001</v>
      </c>
      <c r="D14" s="4" t="s">
        <v>15</v>
      </c>
      <c r="E14" s="4" t="s">
        <v>56</v>
      </c>
    </row>
    <row r="15" spans="2:5">
      <c r="B15" s="4" t="s">
        <v>57</v>
      </c>
      <c r="C15" s="6">
        <v>0.55000000000000004</v>
      </c>
      <c r="D15" s="4" t="s">
        <v>15</v>
      </c>
      <c r="E15" s="4" t="s">
        <v>58</v>
      </c>
    </row>
    <row r="16" spans="2:5">
      <c r="B16" s="4" t="s">
        <v>59</v>
      </c>
      <c r="C16" s="6">
        <v>28.7</v>
      </c>
      <c r="D16" s="4" t="s">
        <v>46</v>
      </c>
      <c r="E16" s="4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7"/>
  <sheetViews>
    <sheetView workbookViewId="0">
      <selection activeCell="H15" sqref="H15"/>
    </sheetView>
  </sheetViews>
  <sheetFormatPr defaultRowHeight="14.4"/>
  <cols>
    <col min="1" max="1" width="12" customWidth="1"/>
    <col min="2" max="2" width="47" customWidth="1"/>
    <col min="3" max="3" width="18" customWidth="1"/>
    <col min="4" max="4" width="17" customWidth="1"/>
    <col min="5" max="5" width="16" customWidth="1"/>
    <col min="6" max="6" width="25" customWidth="1"/>
    <col min="7" max="7" width="27" customWidth="1"/>
  </cols>
  <sheetData>
    <row r="2" spans="2:7" ht="18">
      <c r="B2" s="1" t="s">
        <v>61</v>
      </c>
    </row>
    <row r="4" spans="2:7">
      <c r="B4" s="3" t="s">
        <v>62</v>
      </c>
      <c r="C4" s="3" t="s">
        <v>63</v>
      </c>
      <c r="D4" s="3" t="s">
        <v>64</v>
      </c>
      <c r="E4" s="3" t="s">
        <v>65</v>
      </c>
      <c r="F4" s="3" t="s">
        <v>66</v>
      </c>
      <c r="G4" s="3" t="s">
        <v>67</v>
      </c>
    </row>
    <row r="5" spans="2:7">
      <c r="B5" s="4" t="s">
        <v>68</v>
      </c>
      <c r="C5" s="4" t="s">
        <v>69</v>
      </c>
      <c r="D5" s="7">
        <v>12</v>
      </c>
      <c r="E5" s="7">
        <v>200</v>
      </c>
      <c r="F5" s="4">
        <v>565</v>
      </c>
      <c r="G5" s="4" t="s">
        <v>70</v>
      </c>
    </row>
    <row r="6" spans="2:7">
      <c r="B6" s="4" t="s">
        <v>71</v>
      </c>
      <c r="C6" s="4" t="s">
        <v>69</v>
      </c>
      <c r="D6" s="7">
        <v>10</v>
      </c>
      <c r="E6" s="7">
        <v>300</v>
      </c>
      <c r="F6" s="4">
        <v>262</v>
      </c>
      <c r="G6" s="4" t="s">
        <v>72</v>
      </c>
    </row>
    <row r="7" spans="2:7">
      <c r="B7" s="4" t="s">
        <v>73</v>
      </c>
      <c r="C7" s="4" t="s">
        <v>69</v>
      </c>
      <c r="D7" s="7">
        <v>10</v>
      </c>
      <c r="E7" s="7">
        <v>250</v>
      </c>
      <c r="F7" s="4">
        <v>314</v>
      </c>
      <c r="G7" s="4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&amp; Parameters</vt:lpstr>
      <vt:lpstr>Design Calculations</vt:lpstr>
      <vt:lpstr>Reinforcement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Siphuthando M Mkhize</cp:lastModifiedBy>
  <dcterms:created xsi:type="dcterms:W3CDTF">2026-10-08T22:47:07Z</dcterms:created>
  <dcterms:modified xsi:type="dcterms:W3CDTF">2026-10-09T01:12:48Z</dcterms:modified>
</cp:coreProperties>
</file>