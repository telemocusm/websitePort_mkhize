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Gas Pipe Rack\"/>
    </mc:Choice>
  </mc:AlternateContent>
  <xr:revisionPtr revIDLastSave="0" documentId="13_ncr:1_{24B70B29-DE89-48E9-A40D-036F35F41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  <c r="F43" i="1"/>
  <c r="F42" i="1"/>
  <c r="F25" i="1"/>
  <c r="F19" i="1"/>
  <c r="F18" i="1"/>
  <c r="F5" i="1"/>
  <c r="F6" i="1"/>
  <c r="F4" i="1"/>
  <c r="F32" i="1"/>
  <c r="F31" i="1"/>
  <c r="F30" i="1"/>
  <c r="F26" i="1"/>
  <c r="F24" i="1"/>
  <c r="F23" i="1"/>
  <c r="F17" i="1"/>
  <c r="F13" i="1"/>
  <c r="F12" i="1"/>
  <c r="F11" i="1"/>
  <c r="F10" i="1"/>
  <c r="F7" i="1"/>
  <c r="F36" i="1" s="1"/>
  <c r="F20" i="1" l="1"/>
  <c r="F38" i="1" s="1"/>
  <c r="F14" i="1"/>
  <c r="F37" i="1" s="1"/>
  <c r="F33" i="1"/>
  <c r="F40" i="1" s="1"/>
  <c r="F27" i="1"/>
  <c r="F39" i="1" s="1"/>
</calcChain>
</file>

<file path=xl/sharedStrings.xml><?xml version="1.0" encoding="utf-8"?>
<sst xmlns="http://schemas.openxmlformats.org/spreadsheetml/2006/main" count="59" uniqueCount="46">
  <si>
    <t>Section</t>
  </si>
  <si>
    <t>Description</t>
  </si>
  <si>
    <t>Unit</t>
  </si>
  <si>
    <t>Qty</t>
  </si>
  <si>
    <t>Rate (ZAR)</t>
  </si>
  <si>
    <t>Amount (ZAR)</t>
  </si>
  <si>
    <t>PRELIMINARIES &amp; GENERAL</t>
  </si>
  <si>
    <t>Site establishment</t>
  </si>
  <si>
    <t>Contractual obligations</t>
  </si>
  <si>
    <t>Supervision</t>
  </si>
  <si>
    <t>EARTHWORKS &amp; SITE CLEARANCE</t>
  </si>
  <si>
    <t>Site clearance and topsoil stripping (150mm)</t>
  </si>
  <si>
    <t>m2</t>
  </si>
  <si>
    <t>Bulk excavation for platform and footings</t>
  </si>
  <si>
    <t>m3</t>
  </si>
  <si>
    <t>G5 Subbase material compacted (98% Mod. AASHTO)</t>
  </si>
  <si>
    <t>G4 Base layer compacted (98% Mod. AASHTO)</t>
  </si>
  <si>
    <t>30/20MPa Reinforced concrete strip footings &amp; pads</t>
  </si>
  <si>
    <t>High-yield steel reinforcement bars (Y10 - Y25)</t>
  </si>
  <si>
    <t>Ton</t>
  </si>
  <si>
    <t>SUBTOTAL SECTION 3</t>
  </si>
  <si>
    <t>STRUCTURAL STEELWORK</t>
  </si>
  <si>
    <t>Universal Columns &amp; Beams (UB / UC sections)</t>
  </si>
  <si>
    <t>Purlins and girts (Cold-formed lipped channels)</t>
  </si>
  <si>
    <t>Structural steel bracing</t>
  </si>
  <si>
    <t>Anti-corrosive primer and industrial paint system</t>
  </si>
  <si>
    <t>EXTERNAL WORKS &amp; CIVIL INFRASTRUCTURE</t>
  </si>
  <si>
    <t>m</t>
  </si>
  <si>
    <t>No.</t>
  </si>
  <si>
    <t>SUMMARY OF WORKS</t>
  </si>
  <si>
    <t>Preliminaries &amp; General</t>
  </si>
  <si>
    <t>Earthworks &amp; Site Clearance</t>
  </si>
  <si>
    <t>Structural Steelwork</t>
  </si>
  <si>
    <t>External Works &amp; Civil Infrastructure</t>
  </si>
  <si>
    <t>SUBTOTAL (EXCL. VAT)</t>
  </si>
  <si>
    <t>VAT (15%)</t>
  </si>
  <si>
    <t>GRAND TOTAL (INCL. VAT)</t>
  </si>
  <si>
    <t>No</t>
  </si>
  <si>
    <t xml:space="preserve">SUBTOTAL </t>
  </si>
  <si>
    <t>SUBTOTAL</t>
  </si>
  <si>
    <t>CONCRETE &amp; FORMWORK &amp; REINFORCEMENT</t>
  </si>
  <si>
    <t>Formwork for foundations</t>
  </si>
  <si>
    <t xml:space="preserve">600mm Ductile Iron Gas Pipe </t>
  </si>
  <si>
    <t xml:space="preserve">Pipe Braces </t>
  </si>
  <si>
    <t xml:space="preserve">Pine 90 Degree Elbow </t>
  </si>
  <si>
    <t>Concrete &amp; Formwork &amp; Reinforcement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</si>
</sst>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 applyProtection="1">
      <protection hidden="1"/>
    </xf>
    <xf numFmtId="0" fontId="1" fillId="0" borderId="0" xfId="0" applyFont="1" applyAlignment="1" applyProtection="1">
      <protection hidden="1"/>
    </xf>
    <xf numFmtId="0" fontId="0" fillId="0" borderId="0" xfId="0" applyFont="1" applyAlignment="1" applyProtection="1">
      <protection hidden="1"/>
    </xf>
    <xf numFmtId="0" fontId="3" fillId="0" borderId="0" xfId="0" applyFont="1" applyAlignment="1" applyProtection="1">
      <protection hidden="1"/>
    </xf>
    <xf numFmtId="164" fontId="1" fillId="0" borderId="0" xfId="0" applyNumberFormat="1" applyFont="1" applyAlignment="1" applyProtection="1">
      <protection hidden="1"/>
    </xf>
    <xf numFmtId="0" fontId="1" fillId="0" borderId="0" xfId="0" applyFont="1" applyProtection="1">
      <protection hidden="1"/>
    </xf>
    <xf numFmtId="0" fontId="4" fillId="0" borderId="0" xfId="0" applyFont="1" applyAlignment="1" applyProtection="1">
      <protection hidden="1"/>
    </xf>
    <xf numFmtId="164" fontId="4" fillId="0" borderId="0" xfId="0" applyNumberFormat="1" applyFont="1" applyAlignment="1" applyProtection="1">
      <protection hidden="1"/>
    </xf>
    <xf numFmtId="164" fontId="2" fillId="0" borderId="0" xfId="0" applyNumberFormat="1" applyFont="1" applyProtection="1">
      <protection hidden="1"/>
    </xf>
    <xf numFmtId="0" fontId="5" fillId="0" borderId="0" xfId="0" applyFont="1" applyAlignment="1" applyProtection="1">
      <protection hidden="1"/>
    </xf>
    <xf numFmtId="164" fontId="1" fillId="0" borderId="0" xfId="0" applyNumberFormat="1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4"/>
  <sheetViews>
    <sheetView tabSelected="1" workbookViewId="0">
      <selection activeCell="H19" sqref="H19"/>
    </sheetView>
  </sheetViews>
  <sheetFormatPr defaultColWidth="12.6640625" defaultRowHeight="15.75" customHeight="1" x14ac:dyDescent="0.25"/>
  <cols>
    <col min="1" max="1" width="12.6640625" style="3"/>
    <col min="2" max="2" width="35.77734375" style="3" customWidth="1"/>
    <col min="3" max="5" width="12.6640625" style="3"/>
    <col min="6" max="6" width="14.33203125" style="3" bestFit="1" customWidth="1"/>
    <col min="7" max="16384" width="12.6640625" style="3"/>
  </cols>
  <sheetData>
    <row r="1" spans="1:8" ht="31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8" ht="13.2" x14ac:dyDescent="0.25">
      <c r="A2" s="2"/>
      <c r="B2" s="2"/>
      <c r="C2" s="2"/>
      <c r="D2" s="2"/>
      <c r="E2" s="2"/>
      <c r="F2" s="2"/>
      <c r="G2" s="2"/>
    </row>
    <row r="3" spans="1:8" ht="13.2" x14ac:dyDescent="0.25">
      <c r="A3" s="4">
        <v>1</v>
      </c>
      <c r="B3" s="4" t="s">
        <v>6</v>
      </c>
      <c r="F3" s="2"/>
    </row>
    <row r="4" spans="1:8" ht="13.2" x14ac:dyDescent="0.25">
      <c r="A4" s="2">
        <v>1.1000000000000001</v>
      </c>
      <c r="B4" s="2" t="s">
        <v>7</v>
      </c>
      <c r="C4" s="4" t="s">
        <v>37</v>
      </c>
      <c r="D4" s="2">
        <v>1</v>
      </c>
      <c r="E4" s="5">
        <v>400000</v>
      </c>
      <c r="F4" s="5">
        <f>E4*D4</f>
        <v>400000</v>
      </c>
      <c r="G4" s="2"/>
      <c r="H4" s="6"/>
    </row>
    <row r="5" spans="1:8" ht="13.2" x14ac:dyDescent="0.25">
      <c r="A5" s="2">
        <v>1.2</v>
      </c>
      <c r="B5" s="2" t="s">
        <v>8</v>
      </c>
      <c r="C5" s="4" t="s">
        <v>37</v>
      </c>
      <c r="D5" s="2">
        <v>1</v>
      </c>
      <c r="E5" s="5">
        <v>100000</v>
      </c>
      <c r="F5" s="5">
        <f t="shared" ref="F5:F6" si="0">E5*D5</f>
        <v>100000</v>
      </c>
      <c r="G5" s="2"/>
      <c r="H5" s="6"/>
    </row>
    <row r="6" spans="1:8" ht="13.2" x14ac:dyDescent="0.25">
      <c r="A6" s="2">
        <v>1.3</v>
      </c>
      <c r="B6" s="2" t="s">
        <v>9</v>
      </c>
      <c r="C6" s="4" t="s">
        <v>37</v>
      </c>
      <c r="D6" s="2">
        <v>1</v>
      </c>
      <c r="E6" s="5">
        <v>67000</v>
      </c>
      <c r="F6" s="5">
        <f t="shared" si="0"/>
        <v>67000</v>
      </c>
      <c r="G6" s="2"/>
      <c r="H6" s="6"/>
    </row>
    <row r="7" spans="1:8" ht="13.2" x14ac:dyDescent="0.25">
      <c r="A7" s="7"/>
      <c r="B7" s="1" t="s">
        <v>38</v>
      </c>
      <c r="C7" s="7"/>
      <c r="D7" s="7"/>
      <c r="E7" s="8"/>
      <c r="F7" s="9">
        <f>SUM(F4:F6)</f>
        <v>567000</v>
      </c>
    </row>
    <row r="8" spans="1:8" ht="13.2" x14ac:dyDescent="0.25">
      <c r="B8" s="2"/>
      <c r="F8" s="6"/>
    </row>
    <row r="9" spans="1:8" ht="19.2" customHeight="1" x14ac:dyDescent="0.25">
      <c r="A9" s="4">
        <v>2</v>
      </c>
      <c r="B9" s="4" t="s">
        <v>10</v>
      </c>
      <c r="C9" s="10"/>
      <c r="F9" s="2"/>
    </row>
    <row r="10" spans="1:8" ht="13.2" x14ac:dyDescent="0.25">
      <c r="A10" s="2">
        <v>2.1</v>
      </c>
      <c r="B10" s="2" t="s">
        <v>11</v>
      </c>
      <c r="C10" s="2" t="s">
        <v>12</v>
      </c>
      <c r="D10" s="2">
        <v>2500</v>
      </c>
      <c r="E10" s="5">
        <v>37.5</v>
      </c>
      <c r="F10" s="11">
        <f t="shared" ref="F10:F13" si="1">D10*E10</f>
        <v>93750</v>
      </c>
    </row>
    <row r="11" spans="1:8" ht="13.2" x14ac:dyDescent="0.25">
      <c r="A11" s="2">
        <v>2.2000000000000002</v>
      </c>
      <c r="B11" s="2" t="s">
        <v>13</v>
      </c>
      <c r="C11" s="2" t="s">
        <v>14</v>
      </c>
      <c r="D11" s="2">
        <v>1200</v>
      </c>
      <c r="E11" s="5">
        <v>75</v>
      </c>
      <c r="F11" s="11">
        <f t="shared" si="1"/>
        <v>90000</v>
      </c>
    </row>
    <row r="12" spans="1:8" ht="13.2" x14ac:dyDescent="0.25">
      <c r="A12" s="2">
        <v>2.2999999999999998</v>
      </c>
      <c r="B12" s="2" t="s">
        <v>15</v>
      </c>
      <c r="C12" s="2" t="s">
        <v>14</v>
      </c>
      <c r="D12" s="2">
        <v>600</v>
      </c>
      <c r="E12" s="5">
        <v>270</v>
      </c>
      <c r="F12" s="11">
        <f t="shared" si="1"/>
        <v>162000</v>
      </c>
    </row>
    <row r="13" spans="1:8" ht="13.2" x14ac:dyDescent="0.25">
      <c r="A13" s="2">
        <v>2.4</v>
      </c>
      <c r="B13" s="2" t="s">
        <v>16</v>
      </c>
      <c r="C13" s="2" t="s">
        <v>14</v>
      </c>
      <c r="D13" s="2">
        <v>500</v>
      </c>
      <c r="E13" s="5">
        <v>300</v>
      </c>
      <c r="F13" s="11">
        <f t="shared" si="1"/>
        <v>150000</v>
      </c>
    </row>
    <row r="14" spans="1:8" ht="13.2" x14ac:dyDescent="0.25">
      <c r="A14" s="7"/>
      <c r="B14" s="1" t="s">
        <v>39</v>
      </c>
      <c r="C14" s="7"/>
      <c r="D14" s="7"/>
      <c r="E14" s="7"/>
      <c r="F14" s="9">
        <f>SUM(F10:F13)</f>
        <v>495750</v>
      </c>
    </row>
    <row r="15" spans="1:8" ht="13.2" x14ac:dyDescent="0.25">
      <c r="B15" s="2"/>
      <c r="F15" s="6"/>
    </row>
    <row r="16" spans="1:8" ht="13.2" x14ac:dyDescent="0.25">
      <c r="A16" s="2">
        <v>3</v>
      </c>
      <c r="B16" s="4" t="s">
        <v>40</v>
      </c>
      <c r="C16" s="4"/>
      <c r="G16" s="2"/>
    </row>
    <row r="17" spans="1:7" ht="13.2" x14ac:dyDescent="0.25">
      <c r="A17" s="2">
        <v>3.1</v>
      </c>
      <c r="B17" s="2" t="s">
        <v>17</v>
      </c>
      <c r="C17" s="2" t="s">
        <v>14</v>
      </c>
      <c r="D17" s="2">
        <v>180</v>
      </c>
      <c r="E17" s="5">
        <v>2450</v>
      </c>
      <c r="F17" s="11">
        <f t="shared" ref="F17" si="2">D17*E17</f>
        <v>441000</v>
      </c>
    </row>
    <row r="18" spans="1:7" ht="13.2" x14ac:dyDescent="0.25">
      <c r="A18" s="2">
        <v>3.2</v>
      </c>
      <c r="B18" s="2" t="s">
        <v>18</v>
      </c>
      <c r="C18" s="2" t="s">
        <v>19</v>
      </c>
      <c r="D18" s="2">
        <v>25</v>
      </c>
      <c r="E18" s="5">
        <v>32000</v>
      </c>
      <c r="F18" s="11">
        <f>D18*E18</f>
        <v>800000</v>
      </c>
    </row>
    <row r="19" spans="1:7" ht="13.2" x14ac:dyDescent="0.25">
      <c r="A19" s="2">
        <v>3.3</v>
      </c>
      <c r="B19" s="4" t="s">
        <v>41</v>
      </c>
      <c r="C19" s="4" t="s">
        <v>12</v>
      </c>
      <c r="D19" s="2">
        <v>500</v>
      </c>
      <c r="E19" s="5">
        <v>750</v>
      </c>
      <c r="F19" s="11">
        <f>D19*E19</f>
        <v>375000</v>
      </c>
      <c r="G19" s="6"/>
    </row>
    <row r="20" spans="1:7" ht="13.2" x14ac:dyDescent="0.25">
      <c r="B20" s="1" t="s">
        <v>20</v>
      </c>
      <c r="C20" s="7"/>
      <c r="D20" s="7"/>
      <c r="E20" s="7"/>
      <c r="F20" s="9">
        <f>SUM(F17:F19)</f>
        <v>1616000</v>
      </c>
    </row>
    <row r="21" spans="1:7" ht="13.2" x14ac:dyDescent="0.25">
      <c r="B21" s="2"/>
      <c r="F21" s="6"/>
    </row>
    <row r="22" spans="1:7" ht="13.2" x14ac:dyDescent="0.25">
      <c r="A22" s="2">
        <v>4</v>
      </c>
      <c r="B22" s="2" t="s">
        <v>21</v>
      </c>
      <c r="F22" s="2"/>
    </row>
    <row r="23" spans="1:7" ht="13.2" x14ac:dyDescent="0.25">
      <c r="A23" s="2">
        <v>4.0999999999999996</v>
      </c>
      <c r="B23" s="2" t="s">
        <v>22</v>
      </c>
      <c r="C23" s="2" t="s">
        <v>19</v>
      </c>
      <c r="D23" s="2">
        <v>28</v>
      </c>
      <c r="E23" s="5">
        <v>36500</v>
      </c>
      <c r="F23" s="11">
        <f t="shared" ref="F23:F25" si="3">D23*E23</f>
        <v>1022000</v>
      </c>
    </row>
    <row r="24" spans="1:7" ht="13.2" x14ac:dyDescent="0.25">
      <c r="A24" s="2">
        <v>4.2</v>
      </c>
      <c r="B24" s="2" t="s">
        <v>23</v>
      </c>
      <c r="C24" s="2" t="s">
        <v>19</v>
      </c>
      <c r="D24" s="2">
        <v>8</v>
      </c>
      <c r="E24" s="5">
        <v>34000</v>
      </c>
      <c r="F24" s="11">
        <f t="shared" si="3"/>
        <v>272000</v>
      </c>
    </row>
    <row r="25" spans="1:7" ht="13.2" x14ac:dyDescent="0.25">
      <c r="A25" s="2">
        <v>4.3</v>
      </c>
      <c r="B25" s="2" t="s">
        <v>24</v>
      </c>
      <c r="C25" s="2" t="s">
        <v>19</v>
      </c>
      <c r="D25" s="2">
        <v>4</v>
      </c>
      <c r="E25" s="5">
        <v>38000</v>
      </c>
      <c r="F25" s="11">
        <f t="shared" si="3"/>
        <v>152000</v>
      </c>
      <c r="G25" s="6"/>
    </row>
    <row r="26" spans="1:7" ht="13.2" x14ac:dyDescent="0.25">
      <c r="A26" s="2">
        <v>4.4000000000000004</v>
      </c>
      <c r="B26" s="2" t="s">
        <v>25</v>
      </c>
      <c r="C26" s="2" t="s">
        <v>12</v>
      </c>
      <c r="D26" s="2">
        <v>1200</v>
      </c>
      <c r="E26" s="5">
        <v>72.5</v>
      </c>
      <c r="F26" s="11">
        <f>D26*E26</f>
        <v>87000</v>
      </c>
    </row>
    <row r="27" spans="1:7" ht="13.2" x14ac:dyDescent="0.25">
      <c r="B27" s="1" t="s">
        <v>38</v>
      </c>
      <c r="C27" s="7"/>
      <c r="D27" s="7"/>
      <c r="E27" s="7"/>
      <c r="F27" s="9">
        <f>SUM(F23:F26)</f>
        <v>1533000</v>
      </c>
    </row>
    <row r="28" spans="1:7" ht="13.2" x14ac:dyDescent="0.25">
      <c r="B28" s="4"/>
      <c r="F28" s="6"/>
    </row>
    <row r="29" spans="1:7" ht="13.2" x14ac:dyDescent="0.25">
      <c r="A29" s="2">
        <v>7</v>
      </c>
      <c r="B29" s="2" t="s">
        <v>26</v>
      </c>
      <c r="F29" s="2"/>
    </row>
    <row r="30" spans="1:7" ht="13.2" x14ac:dyDescent="0.25">
      <c r="A30" s="2">
        <v>7.1</v>
      </c>
      <c r="B30" s="4" t="s">
        <v>42</v>
      </c>
      <c r="C30" s="2" t="s">
        <v>27</v>
      </c>
      <c r="D30" s="2">
        <v>250</v>
      </c>
      <c r="E30" s="5">
        <v>1000</v>
      </c>
      <c r="F30" s="11">
        <f t="shared" ref="F30:F32" si="4">D30*E30</f>
        <v>250000</v>
      </c>
    </row>
    <row r="31" spans="1:7" ht="13.2" x14ac:dyDescent="0.25">
      <c r="A31" s="2">
        <v>7.2</v>
      </c>
      <c r="B31" s="4" t="s">
        <v>43</v>
      </c>
      <c r="C31" s="2" t="s">
        <v>28</v>
      </c>
      <c r="D31" s="2">
        <v>500</v>
      </c>
      <c r="E31" s="5">
        <v>200</v>
      </c>
      <c r="F31" s="11">
        <f t="shared" si="4"/>
        <v>100000</v>
      </c>
    </row>
    <row r="32" spans="1:7" ht="13.2" x14ac:dyDescent="0.25">
      <c r="A32" s="2">
        <v>7.3</v>
      </c>
      <c r="B32" s="4" t="s">
        <v>44</v>
      </c>
      <c r="C32" s="2" t="s">
        <v>28</v>
      </c>
      <c r="D32" s="2">
        <v>8</v>
      </c>
      <c r="E32" s="5">
        <v>7500</v>
      </c>
      <c r="F32" s="11">
        <f t="shared" si="4"/>
        <v>60000</v>
      </c>
    </row>
    <row r="33" spans="2:7" ht="13.2" x14ac:dyDescent="0.25">
      <c r="B33" s="1" t="s">
        <v>38</v>
      </c>
      <c r="C33" s="7"/>
      <c r="D33" s="7"/>
      <c r="E33" s="7"/>
      <c r="F33" s="9">
        <f>SUM(F30:F32)</f>
        <v>410000</v>
      </c>
    </row>
    <row r="34" spans="2:7" ht="13.2" x14ac:dyDescent="0.25">
      <c r="B34" s="2"/>
      <c r="F34" s="6"/>
    </row>
    <row r="35" spans="2:7" ht="13.2" x14ac:dyDescent="0.25">
      <c r="B35" s="2" t="s">
        <v>29</v>
      </c>
      <c r="F35" s="2"/>
    </row>
    <row r="36" spans="2:7" ht="13.2" x14ac:dyDescent="0.25">
      <c r="B36" s="2" t="s">
        <v>30</v>
      </c>
      <c r="E36" s="2">
        <v>1</v>
      </c>
      <c r="F36" s="11">
        <f>F7</f>
        <v>567000</v>
      </c>
    </row>
    <row r="37" spans="2:7" ht="13.2" x14ac:dyDescent="0.25">
      <c r="B37" s="2" t="s">
        <v>31</v>
      </c>
      <c r="E37" s="2">
        <v>1</v>
      </c>
      <c r="F37" s="11">
        <f>F14</f>
        <v>495750</v>
      </c>
    </row>
    <row r="38" spans="2:7" ht="13.2" x14ac:dyDescent="0.25">
      <c r="B38" s="4" t="s">
        <v>45</v>
      </c>
      <c r="C38" s="4"/>
      <c r="E38" s="3">
        <v>1</v>
      </c>
      <c r="F38" s="11">
        <f>F20</f>
        <v>1616000</v>
      </c>
      <c r="G38" s="6"/>
    </row>
    <row r="39" spans="2:7" ht="13.2" x14ac:dyDescent="0.25">
      <c r="B39" s="2" t="s">
        <v>32</v>
      </c>
      <c r="E39" s="2">
        <v>1</v>
      </c>
      <c r="F39" s="11">
        <f>F27</f>
        <v>1533000</v>
      </c>
    </row>
    <row r="40" spans="2:7" ht="13.2" x14ac:dyDescent="0.25">
      <c r="B40" s="2" t="s">
        <v>33</v>
      </c>
      <c r="E40" s="2">
        <v>1</v>
      </c>
      <c r="F40" s="11">
        <f>F33</f>
        <v>410000</v>
      </c>
    </row>
    <row r="41" spans="2:7" ht="13.2" x14ac:dyDescent="0.25">
      <c r="B41" s="2"/>
      <c r="E41" s="2"/>
      <c r="F41" s="6"/>
    </row>
    <row r="42" spans="2:7" ht="13.2" x14ac:dyDescent="0.25">
      <c r="B42" s="2" t="s">
        <v>34</v>
      </c>
      <c r="E42" s="2">
        <v>1</v>
      </c>
      <c r="F42" s="11">
        <f>SUM(F36:F40)</f>
        <v>4621750</v>
      </c>
    </row>
    <row r="43" spans="2:7" ht="13.2" x14ac:dyDescent="0.25">
      <c r="B43" s="2" t="s">
        <v>35</v>
      </c>
      <c r="E43" s="2">
        <v>1</v>
      </c>
      <c r="F43" s="11">
        <f>F42*0.15</f>
        <v>693262.5</v>
      </c>
    </row>
    <row r="44" spans="2:7" ht="13.2" x14ac:dyDescent="0.25">
      <c r="B44" s="1" t="s">
        <v>36</v>
      </c>
      <c r="C44" s="7"/>
      <c r="D44" s="7"/>
      <c r="E44" s="1">
        <v>1</v>
      </c>
      <c r="F44" s="9">
        <f>F43+F42</f>
        <v>5315012.5</v>
      </c>
    </row>
  </sheetData>
  <sheetProtection sheet="1" objects="1" scenarios="1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2026-10-09T09:53:46Z</dcterms:created>
  <dcterms:modified xsi:type="dcterms:W3CDTF">2026-10-09T09:57:18Z</dcterms:modified>
</cp:coreProperties>
</file>