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Design Analysis &amp; Calculations\"/>
    </mc:Choice>
  </mc:AlternateContent>
  <xr:revisionPtr revIDLastSave="0" documentId="13_ncr:1_{99D43C0C-3FBA-40CE-B863-9C78433C9A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avity pipe flow " sheetId="1" r:id="rId1"/>
    <sheet name="Pressure Pipe Flow System Cur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  <c r="D13" i="2"/>
  <c r="D15" i="2"/>
  <c r="D16" i="2"/>
  <c r="D17" i="2"/>
  <c r="D18" i="2"/>
  <c r="D19" i="2"/>
  <c r="D20" i="2"/>
  <c r="D21" i="2"/>
  <c r="D22" i="2"/>
  <c r="D23" i="2"/>
  <c r="D14" i="2"/>
  <c r="B14" i="2"/>
  <c r="B15" i="2"/>
  <c r="B16" i="2"/>
  <c r="B17" i="2"/>
  <c r="B18" i="2"/>
  <c r="B19" i="2"/>
  <c r="B20" i="2"/>
  <c r="B21" i="2"/>
  <c r="B22" i="2"/>
  <c r="B23" i="2"/>
  <c r="B13" i="2"/>
  <c r="B9" i="2"/>
  <c r="C16" i="2" s="1"/>
  <c r="E16" i="2" s="1"/>
  <c r="B16" i="1"/>
  <c r="E33" i="1"/>
  <c r="E32" i="1"/>
  <c r="E31" i="1"/>
  <c r="E30" i="1"/>
  <c r="E29" i="1"/>
  <c r="E28" i="1"/>
  <c r="E27" i="1"/>
  <c r="E26" i="1"/>
  <c r="E25" i="1"/>
  <c r="D24" i="1"/>
  <c r="F24" i="1" s="1"/>
  <c r="B33" i="1"/>
  <c r="B32" i="1"/>
  <c r="B31" i="1"/>
  <c r="B30" i="1"/>
  <c r="B29" i="1"/>
  <c r="B28" i="1"/>
  <c r="B27" i="1"/>
  <c r="B26" i="1"/>
  <c r="B25" i="1"/>
  <c r="C24" i="1"/>
  <c r="B2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D27" i="1"/>
  <c r="D26" i="1"/>
  <c r="F26" i="1" s="1"/>
  <c r="D25" i="1"/>
  <c r="F25" i="1" s="1"/>
  <c r="B17" i="1"/>
  <c r="B19" i="1" s="1"/>
  <c r="C25" i="1"/>
  <c r="C26" i="1"/>
  <c r="C27" i="1"/>
  <c r="C28" i="1"/>
  <c r="C29" i="1"/>
  <c r="C30" i="1"/>
  <c r="C31" i="1"/>
  <c r="C32" i="1"/>
  <c r="C33" i="1"/>
  <c r="C14" i="2" l="1"/>
  <c r="E14" i="2" s="1"/>
  <c r="F14" i="2" s="1"/>
  <c r="C15" i="2"/>
  <c r="E15" i="2" s="1"/>
  <c r="F15" i="2" s="1"/>
  <c r="G15" i="2" s="1"/>
  <c r="G14" i="2"/>
  <c r="F16" i="2"/>
  <c r="G16" i="2" s="1"/>
  <c r="C13" i="2"/>
  <c r="C21" i="2"/>
  <c r="C22" i="2"/>
  <c r="C19" i="2"/>
  <c r="C18" i="2"/>
  <c r="C17" i="2"/>
  <c r="C23" i="2"/>
  <c r="C20" i="2"/>
  <c r="G30" i="1"/>
  <c r="H30" i="1" s="1"/>
  <c r="G31" i="1"/>
  <c r="H31" i="1" s="1"/>
  <c r="G24" i="1"/>
  <c r="H24" i="1" s="1"/>
  <c r="G32" i="1"/>
  <c r="H32" i="1" s="1"/>
  <c r="G33" i="1"/>
  <c r="H33" i="1" s="1"/>
  <c r="G27" i="1"/>
  <c r="I27" i="1" s="1"/>
  <c r="F27" i="1"/>
  <c r="G28" i="1"/>
  <c r="H28" i="1" s="1"/>
  <c r="F28" i="1"/>
  <c r="G29" i="1"/>
  <c r="H29" i="1" s="1"/>
  <c r="G26" i="1"/>
  <c r="H26" i="1" s="1"/>
  <c r="H27" i="1"/>
  <c r="G25" i="1"/>
  <c r="I31" i="1"/>
  <c r="I32" i="1"/>
  <c r="I30" i="1"/>
  <c r="E24" i="1"/>
  <c r="E23" i="2" l="1"/>
  <c r="F23" i="2" s="1"/>
  <c r="G23" i="2" s="1"/>
  <c r="E22" i="2"/>
  <c r="F22" i="2" s="1"/>
  <c r="G22" i="2" s="1"/>
  <c r="E17" i="2"/>
  <c r="F17" i="2" s="1"/>
  <c r="G17" i="2" s="1"/>
  <c r="E18" i="2"/>
  <c r="F18" i="2" s="1"/>
  <c r="G18" i="2" s="1"/>
  <c r="E19" i="2"/>
  <c r="F19" i="2" s="1"/>
  <c r="G19" i="2" s="1"/>
  <c r="E21" i="2"/>
  <c r="F21" i="2" s="1"/>
  <c r="G21" i="2" s="1"/>
  <c r="E13" i="2"/>
  <c r="F13" i="2" s="1"/>
  <c r="G13" i="2" s="1"/>
  <c r="E20" i="2"/>
  <c r="F20" i="2" s="1"/>
  <c r="G20" i="2" s="1"/>
  <c r="I33" i="1"/>
  <c r="I24" i="1"/>
  <c r="I29" i="1"/>
  <c r="I28" i="1"/>
  <c r="I26" i="1"/>
  <c r="H25" i="1"/>
  <c r="I25" i="1"/>
</calcChain>
</file>

<file path=xl/sharedStrings.xml><?xml version="1.0" encoding="utf-8"?>
<sst xmlns="http://schemas.openxmlformats.org/spreadsheetml/2006/main" count="76" uniqueCount="59">
  <si>
    <t>Gravity Pipe Flow Calculator (Manning's Equation)</t>
  </si>
  <si>
    <t>Parameter</t>
  </si>
  <si>
    <t>Value</t>
  </si>
  <si>
    <t>Unit</t>
  </si>
  <si>
    <t>Description</t>
  </si>
  <si>
    <t>Pipe Diameter (D)</t>
  </si>
  <si>
    <t>m</t>
  </si>
  <si>
    <t>Internal diameter</t>
  </si>
  <si>
    <t>Pipe Slope (S)</t>
  </si>
  <si>
    <t>m/m</t>
  </si>
  <si>
    <t>Bed slope</t>
  </si>
  <si>
    <t>Manning's n</t>
  </si>
  <si>
    <t>-</t>
  </si>
  <si>
    <t>Roughness coefficient</t>
  </si>
  <si>
    <t>Full Flow Area (A_full)</t>
  </si>
  <si>
    <t>m^2</t>
  </si>
  <si>
    <t>Full Hydraulic Radius (R_full)</t>
  </si>
  <si>
    <t>Full Flow Rate (Q_full)</t>
  </si>
  <si>
    <t>m^3/s</t>
  </si>
  <si>
    <t>Full Flow Rate (Q_full L/s)</t>
  </si>
  <si>
    <t>L/s</t>
  </si>
  <si>
    <t>Full Flow Velocity (V_full)</t>
  </si>
  <si>
    <t>m/s</t>
  </si>
  <si>
    <t>Gravity Flow Rating Table (Partial Depth Flow)</t>
  </si>
  <si>
    <t>d/D Ratio</t>
  </si>
  <si>
    <t>Flow Depth d (m)</t>
  </si>
  <si>
    <t>Theta (rad)</t>
  </si>
  <si>
    <t>Wetted Area A (m2)</t>
  </si>
  <si>
    <t>Wetted Perimeter P (m)</t>
  </si>
  <si>
    <t>Hydraulic Radius R (m)</t>
  </si>
  <si>
    <t>Flow Rate Q (m3/s)</t>
  </si>
  <si>
    <t>Flow Rate Q (L/s)</t>
  </si>
  <si>
    <t>Velocity V (m/s)</t>
  </si>
  <si>
    <t>Pressure Pipe Flow System Curve Calculator (Hazen-Williams &amp; Minor Losses)</t>
  </si>
  <si>
    <t>Pipe Length (L)</t>
  </si>
  <si>
    <t>Total length of pipeline</t>
  </si>
  <si>
    <t>Hazen-Williams C</t>
  </si>
  <si>
    <t>Static Head (H_static)</t>
  </si>
  <si>
    <t>Elevation lift / pressure differential</t>
  </si>
  <si>
    <t>Minor Loss Sum (K_sum)</t>
  </si>
  <si>
    <t>Fitting &amp; valve loss coefficients</t>
  </si>
  <si>
    <t>Gravitational Acc (g)</t>
  </si>
  <si>
    <t>m/s2</t>
  </si>
  <si>
    <t>Acceleration due to gravity</t>
  </si>
  <si>
    <t>Pipe Cross-Area (A)</t>
  </si>
  <si>
    <t>Pressure Pipe System Curve Table</t>
  </si>
  <si>
    <t>Friction Loss Hf (m)</t>
  </si>
  <si>
    <t>Minor Loss Hm (m)</t>
  </si>
  <si>
    <t>Total Head Loss H_loss (m)</t>
  </si>
  <si>
    <t>Total Dynamic Head TDH (m)</t>
  </si>
  <si>
    <t>Document Summary: Initial Design Assumptions &amp; Hydraulics</t>
  </si>
  <si>
    <r>
      <t>Title:</t>
    </r>
    <r>
      <rPr>
        <sz val="10"/>
        <color rgb="FF000000"/>
        <rFont val="Arial"/>
        <scheme val="minor"/>
      </rPr>
      <t xml:space="preserve"> Technical Specification &amp; Design Assumptions: Gravity Sewer &amp; Pressure Pipe Reticulation</t>
    </r>
  </si>
  <si>
    <r>
      <t>Scope:</t>
    </r>
    <r>
      <rPr>
        <sz val="10"/>
        <color rgb="FF000000"/>
        <rFont val="Arial"/>
        <scheme val="minor"/>
      </rPr>
      <t xml:space="preserve"> Hydraulic design basis for partial-depth gravity pipe rating curves</t>
    </r>
  </si>
  <si>
    <t>Full Flow Area</t>
  </si>
  <si>
    <t>Full Hydraulic Radius</t>
  </si>
  <si>
    <t>Full Flow Rate</t>
  </si>
  <si>
    <t>Full Flow Velocity</t>
  </si>
  <si>
    <t xml:space="preserve">Area </t>
  </si>
  <si>
    <t>Internal diameter (Concrete Pipe)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</si>
</sst>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4"/>
      <color rgb="FF00000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 Depth vs Flow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'gravity pipe flow '!$B$24:$B$33</c:f>
              <c:numCache>
                <c:formatCode>General</c:formatCode>
                <c:ptCount val="10"/>
                <c:pt idx="0">
                  <c:v>0.19999999999999996</c:v>
                </c:pt>
                <c:pt idx="1">
                  <c:v>0.39999999999999991</c:v>
                </c:pt>
                <c:pt idx="2">
                  <c:v>0.59999999999999987</c:v>
                </c:pt>
                <c:pt idx="3">
                  <c:v>0.79999999999999982</c:v>
                </c:pt>
                <c:pt idx="4">
                  <c:v>0.99999999999999989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'gravity pipe flow '!$G$24:$G$33</c:f>
              <c:numCache>
                <c:formatCode>General</c:formatCode>
                <c:ptCount val="10"/>
                <c:pt idx="0">
                  <c:v>0.13222075863118493</c:v>
                </c:pt>
                <c:pt idx="1">
                  <c:v>0.57419560156883487</c:v>
                </c:pt>
                <c:pt idx="2">
                  <c:v>1.3333804320356297</c:v>
                </c:pt>
                <c:pt idx="3">
                  <c:v>2.39126482730462</c:v>
                </c:pt>
                <c:pt idx="4">
                  <c:v>3.7143157712254049</c:v>
                </c:pt>
                <c:pt idx="5">
                  <c:v>5.2552885533574081</c:v>
                </c:pt>
                <c:pt idx="6">
                  <c:v>6.9509748775857583</c:v>
                </c:pt>
                <c:pt idx="7">
                  <c:v>8.7153427531045065</c:v>
                </c:pt>
                <c:pt idx="8">
                  <c:v>10.420262486481985</c:v>
                </c:pt>
                <c:pt idx="9">
                  <c:v>11.792217525170566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63-49C7-8DC4-9C97822C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08640"/>
        <c:axId val="1351520704"/>
      </c:scatterChart>
      <c:valAx>
        <c:axId val="13515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20704"/>
        <c:crosses val="autoZero"/>
        <c:crossBetween val="midCat"/>
      </c:valAx>
      <c:valAx>
        <c:axId val="13515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0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 Depth vs Velocity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'gravity pipe flow '!$I$24:$I$33</c:f>
              <c:numCache>
                <c:formatCode>General</c:formatCode>
                <c:ptCount val="10"/>
                <c:pt idx="0">
                  <c:v>0.80868417105570012</c:v>
                </c:pt>
                <c:pt idx="1">
                  <c:v>1.2837061038438495</c:v>
                </c:pt>
                <c:pt idx="2">
                  <c:v>1.6821308621711006</c:v>
                </c:pt>
                <c:pt idx="3">
                  <c:v>2.037756419659726</c:v>
                </c:pt>
                <c:pt idx="4">
                  <c:v>2.3646068607788346</c:v>
                </c:pt>
                <c:pt idx="5">
                  <c:v>2.6702163001585792</c:v>
                </c:pt>
                <c:pt idx="6">
                  <c:v>2.9592226047493169</c:v>
                </c:pt>
                <c:pt idx="7">
                  <c:v>3.2347366842228005</c:v>
                </c:pt>
                <c:pt idx="8">
                  <c:v>3.4989731946584586</c:v>
                </c:pt>
                <c:pt idx="9">
                  <c:v>3.7535794182915447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41-40A0-8AB4-069CEBA7E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88768"/>
        <c:axId val="36889184"/>
      </c:scatterChart>
      <c:valAx>
        <c:axId val="368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9184"/>
        <c:crosses val="autoZero"/>
        <c:crossBetween val="midCat"/>
      </c:valAx>
      <c:valAx>
        <c:axId val="368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Flow Rate Q (L/s) vs Total Dynamic Head TDH (m)</a:t>
            </a:r>
            <a:r>
              <a:rPr lang="en-ZA" baseline="0"/>
              <a:t>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24231504960186"/>
          <c:y val="0.20335985853227231"/>
          <c:w val="0.76247537324667347"/>
          <c:h val="0.7215738284703802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'Pressure Pipe Flow System Curve'!$A$13:$A$23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'Pressure Pipe Flow System Curve'!$G$13:$G$23</c:f>
              <c:numCache>
                <c:formatCode>General</c:formatCode>
                <c:ptCount val="11"/>
                <c:pt idx="0">
                  <c:v>20</c:v>
                </c:pt>
                <c:pt idx="1">
                  <c:v>20.00596997315651</c:v>
                </c:pt>
                <c:pt idx="2">
                  <c:v>20.021685673279652</c:v>
                </c:pt>
                <c:pt idx="3">
                  <c:v>20.046131069477525</c:v>
                </c:pt>
                <c:pt idx="4">
                  <c:v>20.078821554893299</c:v>
                </c:pt>
                <c:pt idx="5">
                  <c:v>20.11943692046065</c:v>
                </c:pt>
                <c:pt idx="6">
                  <c:v>20.16773977036468</c:v>
                </c:pt>
                <c:pt idx="7">
                  <c:v>20.22354254753715</c:v>
                </c:pt>
                <c:pt idx="8">
                  <c:v>20.286690887530515</c:v>
                </c:pt>
                <c:pt idx="9">
                  <c:v>20.357054054620974</c:v>
                </c:pt>
                <c:pt idx="10">
                  <c:v>20.434518950729597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F-4099-B6BF-C628B586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573296"/>
        <c:axId val="1435579952"/>
      </c:scatterChart>
      <c:valAx>
        <c:axId val="143557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79952"/>
        <c:crosses val="autoZero"/>
        <c:crossBetween val="midCat"/>
      </c:valAx>
      <c:valAx>
        <c:axId val="14355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7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33</xdr:row>
      <xdr:rowOff>171450</xdr:rowOff>
    </xdr:from>
    <xdr:to>
      <xdr:col>3</xdr:col>
      <xdr:colOff>198120</xdr:colOff>
      <xdr:row>48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46C68-AD23-4328-B2EE-8EAB772FA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34</xdr:row>
      <xdr:rowOff>87630</xdr:rowOff>
    </xdr:from>
    <xdr:to>
      <xdr:col>7</xdr:col>
      <xdr:colOff>556260</xdr:colOff>
      <xdr:row>48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7A600-9A74-4521-8669-5F45888CB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24</xdr:row>
      <xdr:rowOff>106680</xdr:rowOff>
    </xdr:from>
    <xdr:to>
      <xdr:col>5</xdr:col>
      <xdr:colOff>457200</xdr:colOff>
      <xdr:row>40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7A7CD-E05D-44DD-81DA-AD3031453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7"/>
  <sheetViews>
    <sheetView topLeftCell="A22" workbookViewId="0">
      <selection activeCell="J40" sqref="J40"/>
    </sheetView>
  </sheetViews>
  <sheetFormatPr defaultColWidth="12.6640625" defaultRowHeight="15.75" customHeight="1" x14ac:dyDescent="0.25"/>
  <cols>
    <col min="1" max="1" width="40" customWidth="1"/>
    <col min="2" max="2" width="14.88671875" customWidth="1"/>
    <col min="4" max="4" width="25.33203125" customWidth="1"/>
    <col min="5" max="5" width="17.21875" customWidth="1"/>
    <col min="6" max="6" width="19" customWidth="1"/>
    <col min="7" max="7" width="15.6640625" customWidth="1"/>
  </cols>
  <sheetData>
    <row r="1" spans="1:4" ht="27.6" customHeight="1" x14ac:dyDescent="0.25">
      <c r="A1" s="3" t="s">
        <v>50</v>
      </c>
    </row>
    <row r="3" spans="1:4" ht="15.75" customHeight="1" x14ac:dyDescent="0.25">
      <c r="A3" s="4" t="s">
        <v>51</v>
      </c>
    </row>
    <row r="5" spans="1:4" ht="15.75" customHeight="1" x14ac:dyDescent="0.25">
      <c r="A5" s="4" t="s">
        <v>52</v>
      </c>
    </row>
    <row r="10" spans="1:4" ht="13.2" x14ac:dyDescent="0.25">
      <c r="A10" s="1" t="s">
        <v>0</v>
      </c>
    </row>
    <row r="11" spans="1:4" ht="13.2" x14ac:dyDescent="0.25">
      <c r="A11" s="1" t="s">
        <v>1</v>
      </c>
      <c r="B11" s="1" t="s">
        <v>2</v>
      </c>
      <c r="C11" s="1" t="s">
        <v>3</v>
      </c>
      <c r="D11" s="1" t="s">
        <v>4</v>
      </c>
    </row>
    <row r="12" spans="1:4" ht="13.2" x14ac:dyDescent="0.25">
      <c r="A12" s="1" t="s">
        <v>5</v>
      </c>
      <c r="B12" s="1">
        <v>2</v>
      </c>
      <c r="C12" s="1" t="s">
        <v>6</v>
      </c>
      <c r="D12" s="1" t="s">
        <v>58</v>
      </c>
    </row>
    <row r="13" spans="1:4" ht="13.2" x14ac:dyDescent="0.25">
      <c r="A13" s="1" t="s">
        <v>8</v>
      </c>
      <c r="B13" s="1">
        <v>6.0000000000000001E-3</v>
      </c>
      <c r="C13" s="1" t="s">
        <v>9</v>
      </c>
      <c r="D13" s="1" t="s">
        <v>10</v>
      </c>
    </row>
    <row r="14" spans="1:4" ht="13.2" x14ac:dyDescent="0.25">
      <c r="A14" s="1" t="s">
        <v>11</v>
      </c>
      <c r="B14" s="1">
        <v>1.2999999999999999E-2</v>
      </c>
      <c r="C14" s="1" t="s">
        <v>12</v>
      </c>
      <c r="D14" s="1" t="s">
        <v>13</v>
      </c>
    </row>
    <row r="15" spans="1:4" ht="13.2" x14ac:dyDescent="0.25">
      <c r="A15" s="1" t="s">
        <v>14</v>
      </c>
      <c r="B15" s="1">
        <f>PI()*B12^2/4</f>
        <v>3.1415926535897931</v>
      </c>
      <c r="C15" s="1" t="s">
        <v>15</v>
      </c>
      <c r="D15" s="2" t="s">
        <v>53</v>
      </c>
    </row>
    <row r="16" spans="1:4" ht="13.2" x14ac:dyDescent="0.25">
      <c r="A16" s="1" t="s">
        <v>16</v>
      </c>
      <c r="B16" s="1">
        <f>(B15)/(PI()*B12)</f>
        <v>0.5</v>
      </c>
      <c r="C16" s="1" t="s">
        <v>6</v>
      </c>
      <c r="D16" s="2" t="s">
        <v>54</v>
      </c>
    </row>
    <row r="17" spans="1:9" ht="13.2" x14ac:dyDescent="0.25">
      <c r="A17" s="1" t="s">
        <v>17</v>
      </c>
      <c r="B17" s="1">
        <f>(1/B14)*B15*(B12/4)^(2/3)*SQRT(B13)</f>
        <v>11.792217525170566</v>
      </c>
      <c r="C17" s="1" t="s">
        <v>18</v>
      </c>
      <c r="D17" s="2" t="s">
        <v>55</v>
      </c>
    </row>
    <row r="18" spans="1:9" ht="13.2" x14ac:dyDescent="0.25">
      <c r="A18" s="1" t="s">
        <v>19</v>
      </c>
      <c r="B18" s="1">
        <f>B17*1000</f>
        <v>11792.217525170565</v>
      </c>
      <c r="C18" s="1" t="s">
        <v>20</v>
      </c>
      <c r="D18" s="2" t="s">
        <v>55</v>
      </c>
    </row>
    <row r="19" spans="1:9" ht="13.2" x14ac:dyDescent="0.25">
      <c r="A19" s="1" t="s">
        <v>21</v>
      </c>
      <c r="B19" s="1">
        <f>B17/B15</f>
        <v>3.7535794182915447</v>
      </c>
      <c r="C19" s="1" t="s">
        <v>22</v>
      </c>
      <c r="D19" s="2" t="s">
        <v>56</v>
      </c>
    </row>
    <row r="22" spans="1:9" ht="13.2" x14ac:dyDescent="0.25">
      <c r="A22" s="1" t="s">
        <v>23</v>
      </c>
    </row>
    <row r="23" spans="1:9" ht="13.2" x14ac:dyDescent="0.25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</row>
    <row r="24" spans="1:9" ht="13.2" x14ac:dyDescent="0.25">
      <c r="A24" s="1">
        <v>0.1</v>
      </c>
      <c r="B24" s="1">
        <f>(B12/2)*(1-COS(C24/2))</f>
        <v>0.19999999999999996</v>
      </c>
      <c r="C24" s="1">
        <f>2*ACOS(1 - 2*A24)</f>
        <v>1.2870022175865685</v>
      </c>
      <c r="D24" s="1">
        <f>((B12^2)/8)*(C24-SIN(C24))</f>
        <v>0.16350110879328428</v>
      </c>
      <c r="E24" s="1">
        <f>(B12/2)*C24</f>
        <v>1.2870022175865685</v>
      </c>
      <c r="F24" s="1">
        <f>(D24)/(PI()*B12)</f>
        <v>2.6022009665456949E-2</v>
      </c>
      <c r="G24" s="1">
        <f>(1/B14)*D24*(B24/4)^(2/3)*SQRT(B13)</f>
        <v>0.13222075863118493</v>
      </c>
      <c r="H24" s="1">
        <f>G24*1000</f>
        <v>132.22075863118494</v>
      </c>
      <c r="I24" s="1">
        <f>G24/D24</f>
        <v>0.80868417105570012</v>
      </c>
    </row>
    <row r="25" spans="1:9" ht="13.2" x14ac:dyDescent="0.25">
      <c r="A25" s="1">
        <v>0.2</v>
      </c>
      <c r="B25" s="1">
        <f>(B12/2)*(1-COS(C25/2))</f>
        <v>0.39999999999999991</v>
      </c>
      <c r="C25" s="1">
        <f t="shared" ref="C25:C33" si="0">2*ACOS(1 - 2*A25)</f>
        <v>1.8545904360032244</v>
      </c>
      <c r="D25" s="1">
        <f>((B12^2)/8)*(C25-SIN(C25))</f>
        <v>0.44729521800161215</v>
      </c>
      <c r="E25" s="1">
        <f>(B12/2)*C25</f>
        <v>1.8545904360032244</v>
      </c>
      <c r="F25" s="1">
        <f>(D25)/(PI()*B12)</f>
        <v>7.1189244966323506E-2</v>
      </c>
      <c r="G25" s="1">
        <f>(1/B14)*D25*(B25/4)^(2/3)*SQRT(B13)</f>
        <v>0.57419560156883487</v>
      </c>
      <c r="H25" s="1">
        <f t="shared" ref="H25:H33" si="1">G25*1000</f>
        <v>574.19560156883483</v>
      </c>
      <c r="I25" s="1">
        <f t="shared" ref="I25:I33" si="2">G25/D25</f>
        <v>1.2837061038438495</v>
      </c>
    </row>
    <row r="26" spans="1:9" ht="13.2" x14ac:dyDescent="0.25">
      <c r="A26" s="1">
        <v>0.3</v>
      </c>
      <c r="B26" s="1">
        <f>(B12/2)*(1-COS(C26/2))</f>
        <v>0.59999999999999987</v>
      </c>
      <c r="C26" s="1">
        <f t="shared" si="0"/>
        <v>2.318558961454817</v>
      </c>
      <c r="D26" s="1">
        <f>((B12^2)/8)*(C26-SIN(C26))</f>
        <v>0.7926734251309413</v>
      </c>
      <c r="E26" s="1">
        <f>(B12/2)*C26</f>
        <v>2.318558961454817</v>
      </c>
      <c r="F26" s="1">
        <f>(D26)/(PI()*B12)</f>
        <v>0.12615789386717272</v>
      </c>
      <c r="G26" s="1">
        <f>(1/B14)*D26*(B26/4)^(2/3)*SQRT(B13)</f>
        <v>1.3333804320356297</v>
      </c>
      <c r="H26" s="1">
        <f t="shared" si="1"/>
        <v>1333.3804320356298</v>
      </c>
      <c r="I26" s="1">
        <f t="shared" si="2"/>
        <v>1.6821308621711006</v>
      </c>
    </row>
    <row r="27" spans="1:9" ht="13.2" x14ac:dyDescent="0.25">
      <c r="A27" s="1">
        <v>0.4</v>
      </c>
      <c r="B27" s="1">
        <f>(B12/2)*(1-COS(C27/2))</f>
        <v>0.79999999999999982</v>
      </c>
      <c r="C27" s="1">
        <f t="shared" si="0"/>
        <v>2.7388768120091314</v>
      </c>
      <c r="D27" s="1">
        <f>((B12^2)/8)*(C27-SIN(C27))</f>
        <v>1.1734792265819114</v>
      </c>
      <c r="E27" s="1">
        <f>(B12/2)*C27</f>
        <v>2.7388768120091314</v>
      </c>
      <c r="F27" s="1">
        <f>(D27)/(PI()*B12)</f>
        <v>0.18676501952616548</v>
      </c>
      <c r="G27" s="1">
        <f>(1/B14)*D27*(B27/4)^(2/3)*SQRT(B13)</f>
        <v>2.39126482730462</v>
      </c>
      <c r="H27" s="1">
        <f t="shared" si="1"/>
        <v>2391.2648273046198</v>
      </c>
      <c r="I27" s="1">
        <f t="shared" si="2"/>
        <v>2.037756419659726</v>
      </c>
    </row>
    <row r="28" spans="1:9" ht="13.2" x14ac:dyDescent="0.25">
      <c r="A28" s="1">
        <v>0.5</v>
      </c>
      <c r="B28" s="1">
        <f>(B12/2)*(1-COS(C28/2))</f>
        <v>0.99999999999999989</v>
      </c>
      <c r="C28" s="1">
        <f t="shared" si="0"/>
        <v>3.1415926535897931</v>
      </c>
      <c r="D28" s="1">
        <f>((B12^2)/8)*(C28-SIN(C28))</f>
        <v>1.5707963267948966</v>
      </c>
      <c r="E28" s="1">
        <f>(B12/2)*C28</f>
        <v>3.1415926535897931</v>
      </c>
      <c r="F28" s="1">
        <f>(D28)/(PI()*B12)</f>
        <v>0.25</v>
      </c>
      <c r="G28" s="1">
        <f>(1/B14)*D28*(B28/4)^(2/3)*SQRT(B13)</f>
        <v>3.7143157712254049</v>
      </c>
      <c r="H28" s="1">
        <f t="shared" si="1"/>
        <v>3714.3157712254051</v>
      </c>
      <c r="I28" s="1">
        <f t="shared" si="2"/>
        <v>2.3646068607788346</v>
      </c>
    </row>
    <row r="29" spans="1:9" ht="13.2" x14ac:dyDescent="0.25">
      <c r="A29" s="1">
        <v>0.6</v>
      </c>
      <c r="B29" s="1">
        <f>(B12/2)*(1-COS(C29/2))</f>
        <v>1.2</v>
      </c>
      <c r="C29" s="1">
        <f t="shared" si="0"/>
        <v>3.5443084951704549</v>
      </c>
      <c r="D29" s="1">
        <f>((B12^2)/8)*(C29-SIN(C29))</f>
        <v>1.9681134270078817</v>
      </c>
      <c r="E29" s="1">
        <f>(B12/2)*C29</f>
        <v>3.5443084951704549</v>
      </c>
      <c r="F29" s="1">
        <f>(D29)/(PI()*B12)</f>
        <v>0.31323498047383452</v>
      </c>
      <c r="G29" s="1">
        <f>(1/B14)*D29*(B29/4)^(2/3)*SQRT(B13)</f>
        <v>5.2552885533574081</v>
      </c>
      <c r="H29" s="1">
        <f t="shared" si="1"/>
        <v>5255.2885533574081</v>
      </c>
      <c r="I29" s="1">
        <f t="shared" si="2"/>
        <v>2.6702163001585792</v>
      </c>
    </row>
    <row r="30" spans="1:9" ht="13.2" x14ac:dyDescent="0.25">
      <c r="A30" s="1">
        <v>0.7</v>
      </c>
      <c r="B30" s="1">
        <f>(B12/2)*(1-COS(C30/2))</f>
        <v>1.4</v>
      </c>
      <c r="C30" s="1">
        <f t="shared" si="0"/>
        <v>3.9646263457247688</v>
      </c>
      <c r="D30" s="1">
        <f>((B12^2)/8)*(C30-SIN(C30))</f>
        <v>2.3489192284588514</v>
      </c>
      <c r="E30" s="1">
        <f>(B12/2)*C30</f>
        <v>3.9646263457247688</v>
      </c>
      <c r="F30" s="1">
        <f>(D30)/(PI()*B12)</f>
        <v>0.3738421061328272</v>
      </c>
      <c r="G30" s="1">
        <f>(1/B14)*D30*(B30/4)^(2/3)*SQRT(B13)</f>
        <v>6.9509748775857583</v>
      </c>
      <c r="H30" s="1">
        <f t="shared" si="1"/>
        <v>6950.9748775857579</v>
      </c>
      <c r="I30" s="1">
        <f t="shared" si="2"/>
        <v>2.9592226047493169</v>
      </c>
    </row>
    <row r="31" spans="1:9" ht="13.2" x14ac:dyDescent="0.25">
      <c r="A31" s="1">
        <v>0.8</v>
      </c>
      <c r="B31" s="1">
        <f>(B12/2)*(1-COS(C31/2))</f>
        <v>1.5999999999999999</v>
      </c>
      <c r="C31" s="1">
        <f t="shared" si="0"/>
        <v>4.4285948711763616</v>
      </c>
      <c r="D31" s="1">
        <f>((B12^2)/8)*(C31-SIN(C31))</f>
        <v>2.6942974355881808</v>
      </c>
      <c r="E31" s="1">
        <f>(B12/2)*C31</f>
        <v>4.4285948711763616</v>
      </c>
      <c r="F31" s="1">
        <f>(D31)/(PI()*B12)</f>
        <v>0.42881075503367649</v>
      </c>
      <c r="G31" s="1">
        <f>(1/B14)*D31*(B31/4)^(2/3)*SQRT(B13)</f>
        <v>8.7153427531045065</v>
      </c>
      <c r="H31" s="1">
        <f t="shared" si="1"/>
        <v>8715.3427531045072</v>
      </c>
      <c r="I31" s="1">
        <f t="shared" si="2"/>
        <v>3.2347366842228005</v>
      </c>
    </row>
    <row r="32" spans="1:9" ht="13.2" x14ac:dyDescent="0.25">
      <c r="A32" s="1">
        <v>0.9</v>
      </c>
      <c r="B32" s="1">
        <f>(B12/2)*(1-COS(C32/2))</f>
        <v>1.8</v>
      </c>
      <c r="C32" s="1">
        <f t="shared" si="0"/>
        <v>4.9961830895930177</v>
      </c>
      <c r="D32" s="1">
        <f>((B12^2)/8)*(C32-SIN(C32))</f>
        <v>2.9780915447965088</v>
      </c>
      <c r="E32" s="1">
        <f>(B12/2)*C32</f>
        <v>4.9961830895930177</v>
      </c>
      <c r="F32" s="1">
        <f>(D32)/(PI()*B12)</f>
        <v>0.47397799033454308</v>
      </c>
      <c r="G32" s="1">
        <f>(1/B14)*D32*(B32/4)^(2/3)*SQRT(B13)</f>
        <v>10.420262486481985</v>
      </c>
      <c r="H32" s="1">
        <f t="shared" si="1"/>
        <v>10420.262486481985</v>
      </c>
      <c r="I32" s="1">
        <f t="shared" si="2"/>
        <v>3.4989731946584586</v>
      </c>
    </row>
    <row r="33" spans="1:9" ht="13.2" x14ac:dyDescent="0.25">
      <c r="A33" s="1">
        <v>1</v>
      </c>
      <c r="B33" s="1">
        <f>(B12/2)*(1-COS(C33/2))</f>
        <v>2</v>
      </c>
      <c r="C33" s="1">
        <f t="shared" si="0"/>
        <v>6.2831853071795862</v>
      </c>
      <c r="D33" s="1">
        <f>((B12^2)/8)*(C33-SIN(C33))</f>
        <v>3.1415926535897931</v>
      </c>
      <c r="E33" s="1">
        <f>(B12/2)*C33</f>
        <v>6.2831853071795862</v>
      </c>
      <c r="F33" s="1">
        <f>(D33)/(PI()*B12)</f>
        <v>0.5</v>
      </c>
      <c r="G33" s="1">
        <f>(1/B14)*D33*(B33/4)^(2/3)*SQRT(B13)</f>
        <v>11.792217525170566</v>
      </c>
      <c r="H33" s="1">
        <f t="shared" si="1"/>
        <v>11792.217525170565</v>
      </c>
      <c r="I33" s="1">
        <f t="shared" si="2"/>
        <v>3.7535794182915447</v>
      </c>
    </row>
    <row r="35" spans="1:9" ht="13.2" x14ac:dyDescent="0.25">
      <c r="A35" s="1"/>
    </row>
    <row r="36" spans="1:9" ht="13.2" x14ac:dyDescent="0.25">
      <c r="A36" s="1"/>
      <c r="B36" s="1"/>
      <c r="C36" s="1"/>
      <c r="D36" s="1"/>
    </row>
    <row r="37" spans="1:9" ht="13.2" x14ac:dyDescent="0.25">
      <c r="A37" s="1"/>
      <c r="B37" s="1"/>
      <c r="C37" s="1"/>
      <c r="D37" s="1"/>
    </row>
    <row r="38" spans="1:9" ht="13.2" x14ac:dyDescent="0.25">
      <c r="A38" s="1"/>
      <c r="B38" s="1"/>
      <c r="C38" s="1"/>
      <c r="D38" s="1"/>
    </row>
    <row r="39" spans="1:9" ht="13.2" x14ac:dyDescent="0.25">
      <c r="A39" s="1"/>
      <c r="B39" s="1"/>
      <c r="C39" s="1"/>
      <c r="D39" s="1"/>
    </row>
    <row r="40" spans="1:9" ht="13.2" x14ac:dyDescent="0.25">
      <c r="A40" s="1"/>
      <c r="B40" s="1"/>
      <c r="C40" s="1"/>
      <c r="D40" s="1"/>
    </row>
    <row r="41" spans="1:9" ht="13.2" x14ac:dyDescent="0.25">
      <c r="A41" s="1"/>
      <c r="B41" s="1"/>
      <c r="C41" s="1"/>
      <c r="D41" s="1"/>
    </row>
    <row r="42" spans="1:9" ht="13.2" x14ac:dyDescent="0.25">
      <c r="A42" s="1"/>
      <c r="B42" s="1"/>
      <c r="C42" s="1"/>
      <c r="D42" s="1"/>
    </row>
    <row r="43" spans="1:9" ht="13.2" x14ac:dyDescent="0.25">
      <c r="A43" s="1"/>
      <c r="B43" s="1"/>
      <c r="C43" s="1"/>
      <c r="D43" s="2"/>
    </row>
    <row r="45" spans="1:9" ht="13.2" x14ac:dyDescent="0.25">
      <c r="A45" s="1"/>
    </row>
    <row r="46" spans="1:9" ht="13.2" x14ac:dyDescent="0.25">
      <c r="A46" s="1"/>
      <c r="B46" s="1"/>
      <c r="C46" s="1"/>
      <c r="D46" s="1"/>
      <c r="E46" s="1"/>
      <c r="F46" s="1"/>
      <c r="G46" s="1"/>
    </row>
    <row r="47" spans="1:9" ht="13.2" x14ac:dyDescent="0.25">
      <c r="A47" s="1"/>
      <c r="B47" s="1"/>
      <c r="C47" s="1"/>
      <c r="D47" s="1"/>
      <c r="E47" s="1"/>
      <c r="F47" s="1"/>
      <c r="G47" s="1"/>
    </row>
    <row r="48" spans="1:9" ht="13.2" x14ac:dyDescent="0.25">
      <c r="A48" s="1"/>
      <c r="B48" s="1"/>
      <c r="C48" s="1"/>
      <c r="D48" s="1"/>
      <c r="E48" s="1"/>
      <c r="F48" s="1"/>
      <c r="G48" s="1"/>
    </row>
    <row r="49" spans="1:7" ht="13.2" x14ac:dyDescent="0.25">
      <c r="A49" s="1"/>
      <c r="B49" s="1"/>
      <c r="C49" s="1"/>
      <c r="D49" s="1"/>
      <c r="E49" s="1"/>
      <c r="F49" s="1"/>
      <c r="G49" s="1"/>
    </row>
    <row r="50" spans="1:7" ht="13.2" x14ac:dyDescent="0.25">
      <c r="A50" s="1"/>
      <c r="B50" s="1"/>
      <c r="C50" s="1"/>
      <c r="D50" s="1"/>
      <c r="E50" s="1"/>
      <c r="F50" s="1"/>
      <c r="G50" s="1"/>
    </row>
    <row r="51" spans="1:7" ht="13.2" x14ac:dyDescent="0.25">
      <c r="A51" s="1"/>
      <c r="B51" s="1"/>
      <c r="C51" s="1"/>
      <c r="D51" s="1"/>
      <c r="E51" s="1"/>
      <c r="F51" s="1"/>
      <c r="G51" s="1"/>
    </row>
    <row r="52" spans="1:7" ht="13.2" x14ac:dyDescent="0.25">
      <c r="A52" s="1"/>
      <c r="B52" s="1"/>
      <c r="C52" s="1"/>
      <c r="D52" s="1"/>
      <c r="E52" s="1"/>
      <c r="F52" s="1"/>
      <c r="G52" s="1"/>
    </row>
    <row r="53" spans="1:7" ht="13.2" x14ac:dyDescent="0.25">
      <c r="A53" s="1"/>
      <c r="B53" s="1"/>
      <c r="C53" s="1"/>
      <c r="D53" s="1"/>
      <c r="E53" s="1"/>
      <c r="F53" s="1"/>
      <c r="G53" s="1"/>
    </row>
    <row r="54" spans="1:7" ht="13.2" x14ac:dyDescent="0.25">
      <c r="A54" s="1"/>
      <c r="B54" s="1"/>
      <c r="C54" s="1"/>
      <c r="D54" s="1"/>
      <c r="E54" s="1"/>
      <c r="F54" s="1"/>
      <c r="G54" s="1"/>
    </row>
    <row r="55" spans="1:7" ht="13.2" x14ac:dyDescent="0.25">
      <c r="A55" s="1"/>
      <c r="B55" s="1"/>
      <c r="C55" s="1"/>
      <c r="D55" s="1"/>
      <c r="E55" s="1"/>
      <c r="F55" s="1"/>
      <c r="G55" s="1"/>
    </row>
    <row r="56" spans="1:7" ht="13.2" x14ac:dyDescent="0.25">
      <c r="A56" s="1"/>
      <c r="B56" s="1"/>
      <c r="C56" s="1"/>
      <c r="D56" s="1"/>
      <c r="E56" s="1"/>
      <c r="F56" s="1"/>
      <c r="G56" s="1"/>
    </row>
    <row r="57" spans="1:7" ht="13.2" x14ac:dyDescent="0.25">
      <c r="A57" s="1"/>
      <c r="B57" s="1"/>
      <c r="C57" s="1"/>
      <c r="D57" s="1"/>
      <c r="E57" s="1"/>
      <c r="F57" s="1"/>
      <c r="G57" s="1"/>
    </row>
  </sheetData>
  <pageMargins left="0.7" right="0.7" top="0.75" bottom="0.75" header="0.3" footer="0.3"/>
  <ignoredErrors>
    <ignoredError sqref="D25 G2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1F64-C1A8-45D5-A508-713DBDDCC535}">
  <dimension ref="A1:G23"/>
  <sheetViews>
    <sheetView tabSelected="1" workbookViewId="0">
      <selection activeCell="G32" sqref="G32"/>
    </sheetView>
  </sheetViews>
  <sheetFormatPr defaultRowHeight="13.2" x14ac:dyDescent="0.25"/>
  <cols>
    <col min="1" max="1" width="24.33203125" customWidth="1"/>
    <col min="2" max="2" width="21.21875" customWidth="1"/>
    <col min="3" max="3" width="27.6640625" customWidth="1"/>
    <col min="4" max="4" width="21.21875" customWidth="1"/>
    <col min="5" max="5" width="17.6640625" customWidth="1"/>
    <col min="6" max="6" width="15.77734375" customWidth="1"/>
    <col min="7" max="7" width="13.88671875" customWidth="1"/>
  </cols>
  <sheetData>
    <row r="1" spans="1:7" x14ac:dyDescent="0.25">
      <c r="A1" s="1" t="s">
        <v>33</v>
      </c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7" x14ac:dyDescent="0.25">
      <c r="A3" s="1" t="s">
        <v>34</v>
      </c>
      <c r="B3" s="1">
        <v>750</v>
      </c>
      <c r="C3" s="1" t="s">
        <v>6</v>
      </c>
      <c r="D3" s="1" t="s">
        <v>35</v>
      </c>
    </row>
    <row r="4" spans="1:7" x14ac:dyDescent="0.25">
      <c r="A4" s="1" t="s">
        <v>5</v>
      </c>
      <c r="B4" s="1">
        <v>0.5</v>
      </c>
      <c r="C4" s="1" t="s">
        <v>6</v>
      </c>
      <c r="D4" s="1" t="s">
        <v>7</v>
      </c>
    </row>
    <row r="5" spans="1:7" x14ac:dyDescent="0.25">
      <c r="A5" s="1" t="s">
        <v>36</v>
      </c>
      <c r="B5" s="1">
        <v>130</v>
      </c>
      <c r="C5" s="1" t="s">
        <v>12</v>
      </c>
      <c r="D5" s="1" t="s">
        <v>13</v>
      </c>
    </row>
    <row r="6" spans="1:7" x14ac:dyDescent="0.25">
      <c r="A6" s="1" t="s">
        <v>37</v>
      </c>
      <c r="B6" s="1">
        <v>20</v>
      </c>
      <c r="C6" s="1" t="s">
        <v>6</v>
      </c>
      <c r="D6" s="1" t="s">
        <v>38</v>
      </c>
    </row>
    <row r="7" spans="1:7" x14ac:dyDescent="0.25">
      <c r="A7" s="1" t="s">
        <v>39</v>
      </c>
      <c r="B7" s="1">
        <v>2.6</v>
      </c>
      <c r="C7" s="1" t="s">
        <v>12</v>
      </c>
      <c r="D7" s="1" t="s">
        <v>40</v>
      </c>
    </row>
    <row r="8" spans="1:7" x14ac:dyDescent="0.25">
      <c r="A8" s="1" t="s">
        <v>41</v>
      </c>
      <c r="B8" s="1">
        <v>9.81</v>
      </c>
      <c r="C8" s="1" t="s">
        <v>42</v>
      </c>
      <c r="D8" s="1" t="s">
        <v>43</v>
      </c>
    </row>
    <row r="9" spans="1:7" x14ac:dyDescent="0.25">
      <c r="A9" s="1" t="s">
        <v>44</v>
      </c>
      <c r="B9" s="1">
        <f>PI()*B4^2/4</f>
        <v>0.19634954084936207</v>
      </c>
      <c r="C9" s="1" t="s">
        <v>15</v>
      </c>
      <c r="D9" s="2" t="s">
        <v>57</v>
      </c>
    </row>
    <row r="11" spans="1:7" x14ac:dyDescent="0.25">
      <c r="A11" s="1" t="s">
        <v>45</v>
      </c>
    </row>
    <row r="12" spans="1:7" x14ac:dyDescent="0.25">
      <c r="A12" s="1" t="s">
        <v>31</v>
      </c>
      <c r="B12" s="1" t="s">
        <v>30</v>
      </c>
      <c r="C12" s="1" t="s">
        <v>32</v>
      </c>
      <c r="D12" s="1" t="s">
        <v>46</v>
      </c>
      <c r="E12" s="1" t="s">
        <v>47</v>
      </c>
      <c r="F12" s="1" t="s">
        <v>48</v>
      </c>
      <c r="G12" s="1" t="s">
        <v>49</v>
      </c>
    </row>
    <row r="13" spans="1:7" x14ac:dyDescent="0.25">
      <c r="A13" s="1">
        <v>0</v>
      </c>
      <c r="B13" s="1">
        <f>A13/1000</f>
        <v>0</v>
      </c>
      <c r="C13" s="1">
        <f t="shared" ref="C13:C15" si="0">B13/$B$9</f>
        <v>0</v>
      </c>
      <c r="D13" s="1">
        <f>(10.67*$B$3*B13^1.852)/(($B$5^1.852*$B$4^4.87))</f>
        <v>0</v>
      </c>
      <c r="E13" s="1">
        <f>$B$7*(C13^2)/(2*$B$8)</f>
        <v>0</v>
      </c>
      <c r="F13" s="1">
        <f>D13+E13</f>
        <v>0</v>
      </c>
      <c r="G13" s="1">
        <f>$B$6+F13</f>
        <v>20</v>
      </c>
    </row>
    <row r="14" spans="1:7" x14ac:dyDescent="0.25">
      <c r="A14" s="1">
        <v>10</v>
      </c>
      <c r="B14" s="1">
        <f t="shared" ref="B14:B23" si="1">A14/1000</f>
        <v>0.01</v>
      </c>
      <c r="C14" s="1">
        <f>B14/$B$9</f>
        <v>5.0929581789406514E-2</v>
      </c>
      <c r="D14" s="1">
        <f>(10.67*$B$3*B14^1.852)/(($B$5^1.852*$B$4^4.87))</f>
        <v>5.6262454305551534E-3</v>
      </c>
      <c r="E14" s="1">
        <f>$B$7*(C14^2)/(2*$B$8)</f>
        <v>3.4372772595484219E-4</v>
      </c>
      <c r="F14" s="1">
        <f>D14+E14</f>
        <v>5.9699731565099959E-3</v>
      </c>
      <c r="G14" s="1">
        <f t="shared" ref="G14:G23" si="2">$B$6+F14</f>
        <v>20.00596997315651</v>
      </c>
    </row>
    <row r="15" spans="1:7" x14ac:dyDescent="0.25">
      <c r="A15" s="1">
        <v>20</v>
      </c>
      <c r="B15" s="1">
        <f t="shared" si="1"/>
        <v>0.02</v>
      </c>
      <c r="C15" s="1">
        <f t="shared" si="0"/>
        <v>0.10185916357881303</v>
      </c>
      <c r="D15" s="1">
        <f t="shared" ref="D15:D23" si="3">(10.67*$B$3*B15^1.852)/(($B$5^1.852*$B$4^4.87))</f>
        <v>2.0310762375832781E-2</v>
      </c>
      <c r="E15" s="1">
        <f t="shared" ref="E15:E23" si="4">$B$7*(C15^2)/(2*$B$8)</f>
        <v>1.3749109038193688E-3</v>
      </c>
      <c r="F15" s="1">
        <f t="shared" ref="F15:F23" si="5">D15+E15</f>
        <v>2.1685673279652151E-2</v>
      </c>
      <c r="G15" s="1">
        <f t="shared" si="2"/>
        <v>20.021685673279652</v>
      </c>
    </row>
    <row r="16" spans="1:7" x14ac:dyDescent="0.25">
      <c r="A16" s="1">
        <v>30</v>
      </c>
      <c r="B16" s="1">
        <f t="shared" si="1"/>
        <v>0.03</v>
      </c>
      <c r="C16" s="1">
        <f t="shared" ref="C16:C23" si="6">B16/$B$9</f>
        <v>0.15278874536821951</v>
      </c>
      <c r="D16" s="1">
        <f t="shared" si="3"/>
        <v>4.3037519943930812E-2</v>
      </c>
      <c r="E16" s="1">
        <f t="shared" si="4"/>
        <v>3.0935495335935783E-3</v>
      </c>
      <c r="F16" s="1">
        <f t="shared" si="5"/>
        <v>4.6131069477524392E-2</v>
      </c>
      <c r="G16" s="1">
        <f t="shared" si="2"/>
        <v>20.046131069477525</v>
      </c>
    </row>
    <row r="17" spans="1:7" x14ac:dyDescent="0.25">
      <c r="A17" s="1">
        <v>40</v>
      </c>
      <c r="B17" s="1">
        <f t="shared" si="1"/>
        <v>0.04</v>
      </c>
      <c r="C17" s="1">
        <f t="shared" si="6"/>
        <v>0.20371832715762606</v>
      </c>
      <c r="D17" s="1">
        <f t="shared" si="3"/>
        <v>7.3321911278022581E-2</v>
      </c>
      <c r="E17" s="1">
        <f t="shared" si="4"/>
        <v>5.499643615277475E-3</v>
      </c>
      <c r="F17" s="1">
        <f t="shared" si="5"/>
        <v>7.8821554893300061E-2</v>
      </c>
      <c r="G17" s="1">
        <f t="shared" si="2"/>
        <v>20.078821554893299</v>
      </c>
    </row>
    <row r="18" spans="1:7" x14ac:dyDescent="0.25">
      <c r="A18" s="1">
        <v>50</v>
      </c>
      <c r="B18" s="1">
        <f t="shared" si="1"/>
        <v>0.05</v>
      </c>
      <c r="C18" s="1">
        <f t="shared" si="6"/>
        <v>0.25464790894703254</v>
      </c>
      <c r="D18" s="1">
        <f t="shared" si="3"/>
        <v>0.11084372731177912</v>
      </c>
      <c r="E18" s="1">
        <f t="shared" si="4"/>
        <v>8.5931931488710533E-3</v>
      </c>
      <c r="F18" s="1">
        <f t="shared" si="5"/>
        <v>0.11943692046065017</v>
      </c>
      <c r="G18" s="1">
        <f t="shared" si="2"/>
        <v>20.11943692046065</v>
      </c>
    </row>
    <row r="19" spans="1:7" x14ac:dyDescent="0.25">
      <c r="A19" s="1">
        <v>60</v>
      </c>
      <c r="B19" s="1">
        <f t="shared" si="1"/>
        <v>0.06</v>
      </c>
      <c r="C19" s="1">
        <f t="shared" si="6"/>
        <v>0.30557749073643903</v>
      </c>
      <c r="D19" s="1">
        <f t="shared" si="3"/>
        <v>0.15536557223030562</v>
      </c>
      <c r="E19" s="1">
        <f t="shared" si="4"/>
        <v>1.2374198134374313E-2</v>
      </c>
      <c r="F19" s="1">
        <f t="shared" si="5"/>
        <v>0.16773977036467994</v>
      </c>
      <c r="G19" s="1">
        <f t="shared" si="2"/>
        <v>20.16773977036468</v>
      </c>
    </row>
    <row r="20" spans="1:7" x14ac:dyDescent="0.25">
      <c r="A20" s="1">
        <v>70</v>
      </c>
      <c r="B20" s="1">
        <f t="shared" si="1"/>
        <v>7.0000000000000007E-2</v>
      </c>
      <c r="C20" s="1">
        <f t="shared" si="6"/>
        <v>0.35650707252584563</v>
      </c>
      <c r="D20" s="1">
        <f t="shared" si="3"/>
        <v>0.2066998889653627</v>
      </c>
      <c r="E20" s="1">
        <f t="shared" si="4"/>
        <v>1.684265857178727E-2</v>
      </c>
      <c r="F20" s="1">
        <f t="shared" si="5"/>
        <v>0.22354254753714997</v>
      </c>
      <c r="G20" s="1">
        <f t="shared" si="2"/>
        <v>20.22354254753715</v>
      </c>
    </row>
    <row r="21" spans="1:7" x14ac:dyDescent="0.25">
      <c r="A21" s="1">
        <v>80</v>
      </c>
      <c r="B21" s="1">
        <f t="shared" si="1"/>
        <v>0.08</v>
      </c>
      <c r="C21" s="1">
        <f t="shared" si="6"/>
        <v>0.40743665431525211</v>
      </c>
      <c r="D21" s="1">
        <f t="shared" si="3"/>
        <v>0.26469231306940433</v>
      </c>
      <c r="E21" s="1">
        <f t="shared" si="4"/>
        <v>2.19985744611099E-2</v>
      </c>
      <c r="F21" s="1">
        <f t="shared" si="5"/>
        <v>0.28669088753051425</v>
      </c>
      <c r="G21" s="1">
        <f t="shared" si="2"/>
        <v>20.286690887530515</v>
      </c>
    </row>
    <row r="22" spans="1:7" x14ac:dyDescent="0.25">
      <c r="A22" s="1">
        <v>90</v>
      </c>
      <c r="B22" s="1">
        <f t="shared" si="1"/>
        <v>0.09</v>
      </c>
      <c r="C22" s="1">
        <f t="shared" si="6"/>
        <v>0.45836623610465854</v>
      </c>
      <c r="D22" s="1">
        <f t="shared" si="3"/>
        <v>0.32921210881863039</v>
      </c>
      <c r="E22" s="1">
        <f t="shared" si="4"/>
        <v>2.7841945802342206E-2</v>
      </c>
      <c r="F22" s="1">
        <f t="shared" si="5"/>
        <v>0.35705405462097262</v>
      </c>
      <c r="G22" s="1">
        <f t="shared" si="2"/>
        <v>20.357054054620974</v>
      </c>
    </row>
    <row r="23" spans="1:7" x14ac:dyDescent="0.25">
      <c r="A23" s="1">
        <v>100</v>
      </c>
      <c r="B23" s="1">
        <f t="shared" si="1"/>
        <v>0.1</v>
      </c>
      <c r="C23" s="1">
        <f t="shared" si="6"/>
        <v>0.50929581789406508</v>
      </c>
      <c r="D23" s="1">
        <f t="shared" si="3"/>
        <v>0.40014617813411169</v>
      </c>
      <c r="E23" s="1">
        <f t="shared" si="4"/>
        <v>3.4372772595484213E-2</v>
      </c>
      <c r="F23" s="1">
        <f t="shared" si="5"/>
        <v>0.4345189507295959</v>
      </c>
      <c r="G23" s="1">
        <f t="shared" si="2"/>
        <v>20.434518950729597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gravity pipe flow </vt:lpstr>
      <vt:lpstr>Pressure Pipe Flow System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2026-09-18T02:30:39Z</dcterms:created>
  <dcterms:modified xsi:type="dcterms:W3CDTF">2026-10-09T07:26:16Z</dcterms:modified>
</cp:coreProperties>
</file>