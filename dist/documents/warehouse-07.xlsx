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phuthando M Mkhize\OneDrive\Desktop\Portfolio\Distribution Warehouse Project\"/>
    </mc:Choice>
  </mc:AlternateContent>
  <xr:revisionPtr revIDLastSave="0" documentId="13_ncr:1_{4CB04045-8364-4AB1-8C0D-D41C7E771D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tit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1" l="1"/>
  <c r="F60" i="1"/>
  <c r="F59" i="1"/>
  <c r="F51" i="1"/>
  <c r="F52" i="1"/>
  <c r="F53" i="1"/>
  <c r="F54" i="1"/>
  <c r="F55" i="1"/>
  <c r="F56" i="1"/>
  <c r="F57" i="1"/>
  <c r="F32" i="1"/>
  <c r="F20" i="1"/>
  <c r="F6" i="1"/>
  <c r="F5" i="1"/>
  <c r="F4" i="1"/>
  <c r="F40" i="1"/>
  <c r="F47" i="1"/>
  <c r="F46" i="1"/>
  <c r="F45" i="1"/>
  <c r="F44" i="1"/>
  <c r="F39" i="1"/>
  <c r="F38" i="1"/>
  <c r="F37" i="1"/>
  <c r="F33" i="1"/>
  <c r="F31" i="1"/>
  <c r="F30" i="1"/>
  <c r="F26" i="1"/>
  <c r="F25" i="1"/>
  <c r="F24" i="1"/>
  <c r="F27" i="1" s="1"/>
  <c r="F19" i="1"/>
  <c r="F18" i="1"/>
  <c r="F17" i="1"/>
  <c r="F13" i="1"/>
  <c r="F12" i="1"/>
  <c r="F11" i="1"/>
  <c r="F10" i="1"/>
  <c r="F7" i="1"/>
  <c r="F41" i="1" l="1"/>
  <c r="F14" i="1"/>
  <c r="F48" i="1"/>
  <c r="F21" i="1"/>
  <c r="F34" i="1"/>
</calcChain>
</file>

<file path=xl/sharedStrings.xml><?xml version="1.0" encoding="utf-8"?>
<sst xmlns="http://schemas.openxmlformats.org/spreadsheetml/2006/main" count="85" uniqueCount="66">
  <si>
    <t>Section</t>
  </si>
  <si>
    <t>Description</t>
  </si>
  <si>
    <t>Unit</t>
  </si>
  <si>
    <t>Qty</t>
  </si>
  <si>
    <t>Rate (ZAR)</t>
  </si>
  <si>
    <t>Amount (ZAR)</t>
  </si>
  <si>
    <t>Notes</t>
  </si>
  <si>
    <t>PRELIMINARIES &amp; GENERAL</t>
  </si>
  <si>
    <t>Site establishment</t>
  </si>
  <si>
    <t>Contractual obligations</t>
  </si>
  <si>
    <t>Supervision</t>
  </si>
  <si>
    <t>SUBTOTAL SECTION 1</t>
  </si>
  <si>
    <t>EARTHWORKS &amp; SITE CLEARANCE</t>
  </si>
  <si>
    <t>Site clearance and topsoil stripping (150mm)</t>
  </si>
  <si>
    <t>m2</t>
  </si>
  <si>
    <t>Bulk excavation for platform and footings</t>
  </si>
  <si>
    <t>m3</t>
  </si>
  <si>
    <t>G5 Subbase material compacted (98% Mod. AASHTO)</t>
  </si>
  <si>
    <t>G4 Base layer compacted (98% Mod. AASHTO)</t>
  </si>
  <si>
    <t>SUBTOTAL SECTION 2</t>
  </si>
  <si>
    <t>CONCRETE</t>
  </si>
  <si>
    <t>FORMWORK &amp; REINFORCEMENT</t>
  </si>
  <si>
    <t>30/20MPa Reinforced concrete strip footings &amp; pads</t>
  </si>
  <si>
    <t>30/20MPa Reinforced concrete ground floor slab (200mm)</t>
  </si>
  <si>
    <t>High-yield steel reinforcement bars (Y10 - Y25)</t>
  </si>
  <si>
    <t>Ton</t>
  </si>
  <si>
    <t>Formwork to edges of foundations</t>
  </si>
  <si>
    <t>SUBTOTAL SECTION 3</t>
  </si>
  <si>
    <t>MASONRY &amp; SUPERSTRUCTURE WALLING</t>
  </si>
  <si>
    <t>NFX Solid Clay Stock Brick foundation walling</t>
  </si>
  <si>
    <t>NFP Wirecut Clay Bricks (220mm cavity wall)</t>
  </si>
  <si>
    <t>Galvanized brick reinforcement ties built in</t>
  </si>
  <si>
    <t>Roll</t>
  </si>
  <si>
    <t>SUBTOTAL SECTION 4</t>
  </si>
  <si>
    <t>STRUCTURAL STEELWORK</t>
  </si>
  <si>
    <t>Universal Columns &amp; Beams (UB / UC sections)</t>
  </si>
  <si>
    <t>Purlins and girts (Cold-formed lipped channels)</t>
  </si>
  <si>
    <t>Structural steel bracing</t>
  </si>
  <si>
    <t>Anti-corrosive primer and industrial paint system</t>
  </si>
  <si>
    <t>SUBTOTAL SECTION 5</t>
  </si>
  <si>
    <t>ROOFING &amp; CLADDING</t>
  </si>
  <si>
    <t>Safal / Colorbond profile roof sheeting (0.53mm)</t>
  </si>
  <si>
    <t>Wall cladding (IBR profile chromadek sheeting)</t>
  </si>
  <si>
    <t>Insulation blanket (50mm Glasswool with sisalation)</t>
  </si>
  <si>
    <t>SUBTOTAL SECTION 6</t>
  </si>
  <si>
    <t>EXTERNAL WORKS &amp; CIVIL INFRASTRUCTURE</t>
  </si>
  <si>
    <t>Stormwater pipe trenches excavation &amp; backfilling</t>
  </si>
  <si>
    <t>m</t>
  </si>
  <si>
    <t>110/160mm uPVC Class 34 pipes laid and jointed</t>
  </si>
  <si>
    <t>Precast concrete stormwater manholes with covers</t>
  </si>
  <si>
    <t>No.</t>
  </si>
  <si>
    <t>Heavy-duty reinforced concrete yard paving (150mm)</t>
  </si>
  <si>
    <t>SUBTOTAL SECTION 7</t>
  </si>
  <si>
    <t>SUMMARY OF WORKS</t>
  </si>
  <si>
    <t>Preliminaries &amp; General</t>
  </si>
  <si>
    <t>Earthworks &amp; Site Clearance</t>
  </si>
  <si>
    <t>Concrete</t>
  </si>
  <si>
    <t>Masonry &amp; Superstructure Walling</t>
  </si>
  <si>
    <t>Structural Steelwork</t>
  </si>
  <si>
    <t>Roofing &amp; Cladding</t>
  </si>
  <si>
    <t>External Works &amp; Civil Infrastructure</t>
  </si>
  <si>
    <t>SUBTOTAL (EXCL. VAT)</t>
  </si>
  <si>
    <t>VAT (15%)</t>
  </si>
  <si>
    <t>GRAND TOTAL (INCL. VAT)</t>
  </si>
  <si>
    <t>Accessories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</si>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</sst>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/>
    <xf numFmtId="164" fontId="1" fillId="0" borderId="0" xfId="0" applyNumberFormat="1" applyFont="1"/>
    <xf numFmtId="0" fontId="1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1"/>
  <sheetViews>
    <sheetView tabSelected="1" workbookViewId="0">
      <selection activeCell="I68" sqref="I68"/>
    </sheetView>
  </sheetViews>
  <sheetFormatPr defaultColWidth="12.6640625" defaultRowHeight="15.75" customHeight="1" x14ac:dyDescent="0.25"/>
  <cols>
    <col min="2" max="2" width="35.33203125" customWidth="1"/>
    <col min="6" max="6" width="14.332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/>
      <c r="B2" s="1"/>
      <c r="C2" s="1"/>
      <c r="D2" s="1"/>
      <c r="E2" s="1"/>
      <c r="F2" s="1"/>
      <c r="G2" s="1"/>
    </row>
    <row r="3" spans="1:7" ht="43.2" customHeight="1" x14ac:dyDescent="0.25">
      <c r="A3" s="1">
        <v>1</v>
      </c>
      <c r="B3" s="3" t="s">
        <v>7</v>
      </c>
      <c r="F3" s="1"/>
    </row>
    <row r="4" spans="1:7" ht="13.2" x14ac:dyDescent="0.25">
      <c r="A4" s="1">
        <v>1.1000000000000001</v>
      </c>
      <c r="B4" s="1" t="s">
        <v>8</v>
      </c>
      <c r="C4" s="1" t="s">
        <v>65</v>
      </c>
      <c r="D4" s="1">
        <v>1</v>
      </c>
      <c r="E4" s="4">
        <v>150000</v>
      </c>
      <c r="F4" s="4">
        <f>D4*E4</f>
        <v>150000</v>
      </c>
    </row>
    <row r="5" spans="1:7" ht="13.2" x14ac:dyDescent="0.25">
      <c r="A5" s="1">
        <v>1.2</v>
      </c>
      <c r="B5" s="1" t="s">
        <v>9</v>
      </c>
      <c r="C5" s="1" t="s">
        <v>65</v>
      </c>
      <c r="D5" s="1">
        <v>1</v>
      </c>
      <c r="E5" s="4">
        <v>85000</v>
      </c>
      <c r="F5" s="4">
        <f>D5*E5</f>
        <v>85000</v>
      </c>
    </row>
    <row r="6" spans="1:7" ht="13.2" x14ac:dyDescent="0.25">
      <c r="A6" s="1">
        <v>1.3</v>
      </c>
      <c r="B6" s="1" t="s">
        <v>10</v>
      </c>
      <c r="C6" s="1" t="s">
        <v>65</v>
      </c>
      <c r="D6" s="1">
        <v>6</v>
      </c>
      <c r="E6" s="4">
        <v>45000</v>
      </c>
      <c r="F6" s="4">
        <f>D6*E6</f>
        <v>270000</v>
      </c>
    </row>
    <row r="7" spans="1:7" ht="13.2" x14ac:dyDescent="0.25">
      <c r="A7" s="7"/>
      <c r="B7" s="8" t="s">
        <v>11</v>
      </c>
      <c r="C7" s="7"/>
      <c r="D7" s="7"/>
      <c r="E7" s="7"/>
      <c r="F7" s="9">
        <f>SUM(F4:F6)</f>
        <v>505000</v>
      </c>
    </row>
    <row r="8" spans="1:7" x14ac:dyDescent="0.25">
      <c r="B8" s="1"/>
      <c r="F8" s="2"/>
    </row>
    <row r="9" spans="1:7" x14ac:dyDescent="0.25">
      <c r="A9" s="1">
        <v>2</v>
      </c>
      <c r="B9" s="1" t="s">
        <v>12</v>
      </c>
      <c r="F9" s="1"/>
    </row>
    <row r="10" spans="1:7" x14ac:dyDescent="0.25">
      <c r="A10" s="1">
        <v>2.1</v>
      </c>
      <c r="B10" s="1" t="s">
        <v>13</v>
      </c>
      <c r="C10" s="1" t="s">
        <v>14</v>
      </c>
      <c r="D10" s="1">
        <v>2500</v>
      </c>
      <c r="E10" s="4">
        <v>35</v>
      </c>
      <c r="F10" s="5">
        <f t="shared" ref="F10:F13" si="0">D10*E10</f>
        <v>87500</v>
      </c>
    </row>
    <row r="11" spans="1:7" x14ac:dyDescent="0.25">
      <c r="A11" s="1">
        <v>2.2000000000000002</v>
      </c>
      <c r="B11" s="1" t="s">
        <v>15</v>
      </c>
      <c r="C11" s="1" t="s">
        <v>16</v>
      </c>
      <c r="D11" s="1">
        <v>1200</v>
      </c>
      <c r="E11" s="4">
        <v>62</v>
      </c>
      <c r="F11" s="5">
        <f t="shared" si="0"/>
        <v>74400</v>
      </c>
    </row>
    <row r="12" spans="1:7" x14ac:dyDescent="0.25">
      <c r="A12" s="1">
        <v>2.2999999999999998</v>
      </c>
      <c r="B12" s="1" t="s">
        <v>17</v>
      </c>
      <c r="C12" s="1" t="s">
        <v>16</v>
      </c>
      <c r="D12" s="1">
        <v>600</v>
      </c>
      <c r="E12" s="4">
        <v>220</v>
      </c>
      <c r="F12" s="5">
        <f t="shared" si="0"/>
        <v>132000</v>
      </c>
    </row>
    <row r="13" spans="1:7" x14ac:dyDescent="0.25">
      <c r="A13" s="1">
        <v>2.4</v>
      </c>
      <c r="B13" s="1" t="s">
        <v>18</v>
      </c>
      <c r="C13" s="1" t="s">
        <v>16</v>
      </c>
      <c r="D13" s="1">
        <v>500</v>
      </c>
      <c r="E13" s="4">
        <v>250</v>
      </c>
      <c r="F13" s="5">
        <f t="shared" si="0"/>
        <v>125000</v>
      </c>
    </row>
    <row r="14" spans="1:7" ht="13.2" x14ac:dyDescent="0.25">
      <c r="A14" s="7"/>
      <c r="B14" s="8" t="s">
        <v>19</v>
      </c>
      <c r="C14" s="7"/>
      <c r="D14" s="7"/>
      <c r="E14" s="7"/>
      <c r="F14" s="9">
        <f>SUM(F10:F13)</f>
        <v>418900</v>
      </c>
    </row>
    <row r="15" spans="1:7" x14ac:dyDescent="0.25">
      <c r="B15" s="1"/>
      <c r="F15" s="2"/>
    </row>
    <row r="16" spans="1:7" x14ac:dyDescent="0.25">
      <c r="A16" s="1">
        <v>3</v>
      </c>
      <c r="B16" s="1" t="s">
        <v>20</v>
      </c>
      <c r="C16" s="1" t="s">
        <v>21</v>
      </c>
      <c r="G16" s="1"/>
    </row>
    <row r="17" spans="1:7" x14ac:dyDescent="0.25">
      <c r="A17" s="1">
        <v>3.2</v>
      </c>
      <c r="B17" s="1" t="s">
        <v>22</v>
      </c>
      <c r="C17" s="1" t="s">
        <v>16</v>
      </c>
      <c r="D17" s="1">
        <v>180</v>
      </c>
      <c r="E17" s="4">
        <v>2450</v>
      </c>
      <c r="F17" s="5">
        <f t="shared" ref="F17:F19" si="1">D17*E17</f>
        <v>441000</v>
      </c>
    </row>
    <row r="18" spans="1:7" x14ac:dyDescent="0.25">
      <c r="A18" s="1">
        <v>3.3</v>
      </c>
      <c r="B18" s="1" t="s">
        <v>23</v>
      </c>
      <c r="C18" s="1" t="s">
        <v>16</v>
      </c>
      <c r="D18" s="1">
        <v>400</v>
      </c>
      <c r="E18" s="4">
        <v>2600</v>
      </c>
      <c r="F18" s="5">
        <f t="shared" si="1"/>
        <v>1040000</v>
      </c>
    </row>
    <row r="19" spans="1:7" ht="26.4" x14ac:dyDescent="0.25">
      <c r="A19" s="1">
        <v>3.4</v>
      </c>
      <c r="B19" s="6" t="s">
        <v>24</v>
      </c>
      <c r="C19" s="1" t="s">
        <v>25</v>
      </c>
      <c r="D19" s="1">
        <v>18</v>
      </c>
      <c r="E19" s="4">
        <v>32000</v>
      </c>
      <c r="F19" s="5">
        <f t="shared" si="1"/>
        <v>576000</v>
      </c>
    </row>
    <row r="20" spans="1:7" x14ac:dyDescent="0.25">
      <c r="A20" s="1">
        <v>3.5</v>
      </c>
      <c r="B20" s="1" t="s">
        <v>26</v>
      </c>
      <c r="C20" s="1" t="s">
        <v>14</v>
      </c>
      <c r="D20" s="1">
        <v>750</v>
      </c>
      <c r="E20" s="4">
        <v>145</v>
      </c>
      <c r="F20" s="4">
        <f>D20*E20</f>
        <v>108750</v>
      </c>
      <c r="G20" s="2"/>
    </row>
    <row r="21" spans="1:7" ht="13.2" x14ac:dyDescent="0.25">
      <c r="A21" s="7"/>
      <c r="B21" s="8" t="s">
        <v>27</v>
      </c>
      <c r="C21" s="7"/>
      <c r="D21" s="7"/>
      <c r="E21" s="7"/>
      <c r="F21" s="9">
        <f>SUM(F17:F20)</f>
        <v>2165750</v>
      </c>
    </row>
    <row r="22" spans="1:7" x14ac:dyDescent="0.25">
      <c r="B22" s="1"/>
      <c r="F22" s="2"/>
    </row>
    <row r="23" spans="1:7" x14ac:dyDescent="0.25">
      <c r="A23" s="1">
        <v>4</v>
      </c>
      <c r="B23" s="1" t="s">
        <v>28</v>
      </c>
      <c r="F23" s="1"/>
    </row>
    <row r="24" spans="1:7" x14ac:dyDescent="0.25">
      <c r="A24" s="1">
        <v>4.0999999999999996</v>
      </c>
      <c r="B24" s="1" t="s">
        <v>29</v>
      </c>
      <c r="C24" s="1" t="s">
        <v>14</v>
      </c>
      <c r="D24" s="1">
        <v>450</v>
      </c>
      <c r="E24" s="4">
        <v>320</v>
      </c>
      <c r="F24" s="5">
        <f t="shared" ref="F24:F26" si="2">D24*E24</f>
        <v>144000</v>
      </c>
    </row>
    <row r="25" spans="1:7" x14ac:dyDescent="0.25">
      <c r="A25" s="1">
        <v>4.2</v>
      </c>
      <c r="B25" s="1" t="s">
        <v>30</v>
      </c>
      <c r="C25" s="1" t="s">
        <v>14</v>
      </c>
      <c r="D25" s="1">
        <v>1100</v>
      </c>
      <c r="E25" s="4">
        <v>450</v>
      </c>
      <c r="F25" s="5">
        <f t="shared" si="2"/>
        <v>495000</v>
      </c>
    </row>
    <row r="26" spans="1:7" x14ac:dyDescent="0.25">
      <c r="A26" s="1">
        <v>4.3</v>
      </c>
      <c r="B26" s="1" t="s">
        <v>31</v>
      </c>
      <c r="C26" s="1" t="s">
        <v>32</v>
      </c>
      <c r="D26" s="1">
        <v>45</v>
      </c>
      <c r="E26" s="4">
        <v>120</v>
      </c>
      <c r="F26" s="5">
        <f t="shared" si="2"/>
        <v>5400</v>
      </c>
    </row>
    <row r="27" spans="1:7" ht="13.2" x14ac:dyDescent="0.25">
      <c r="A27" s="7"/>
      <c r="B27" s="8" t="s">
        <v>33</v>
      </c>
      <c r="C27" s="7"/>
      <c r="D27" s="7"/>
      <c r="E27" s="7"/>
      <c r="F27" s="9">
        <f>SUM(F24:F26)</f>
        <v>644400</v>
      </c>
    </row>
    <row r="28" spans="1:7" x14ac:dyDescent="0.25">
      <c r="B28" s="1"/>
      <c r="F28" s="2"/>
    </row>
    <row r="29" spans="1:7" x14ac:dyDescent="0.25">
      <c r="A29" s="1">
        <v>5</v>
      </c>
      <c r="B29" s="1" t="s">
        <v>34</v>
      </c>
      <c r="F29" s="1"/>
    </row>
    <row r="30" spans="1:7" x14ac:dyDescent="0.25">
      <c r="A30" s="1">
        <v>5.0999999999999996</v>
      </c>
      <c r="B30" s="1" t="s">
        <v>35</v>
      </c>
      <c r="C30" s="1" t="s">
        <v>25</v>
      </c>
      <c r="D30" s="1">
        <v>28</v>
      </c>
      <c r="E30" s="4">
        <v>36500</v>
      </c>
      <c r="F30" s="5">
        <f t="shared" ref="F30:F31" si="3">D30*E30</f>
        <v>1022000</v>
      </c>
    </row>
    <row r="31" spans="1:7" x14ac:dyDescent="0.25">
      <c r="A31" s="1">
        <v>5.2</v>
      </c>
      <c r="B31" s="1" t="s">
        <v>36</v>
      </c>
      <c r="C31" s="1" t="s">
        <v>25</v>
      </c>
      <c r="D31" s="1">
        <v>8</v>
      </c>
      <c r="E31" s="4">
        <v>34000</v>
      </c>
      <c r="F31" s="5">
        <f t="shared" si="3"/>
        <v>272000</v>
      </c>
    </row>
    <row r="32" spans="1:7" x14ac:dyDescent="0.25">
      <c r="A32" s="1">
        <v>5.3</v>
      </c>
      <c r="B32" s="1" t="s">
        <v>37</v>
      </c>
      <c r="C32" s="1" t="s">
        <v>25</v>
      </c>
      <c r="D32" s="1">
        <v>3</v>
      </c>
      <c r="E32" s="4">
        <v>3800</v>
      </c>
      <c r="F32" s="4">
        <f>D32*E32</f>
        <v>11400</v>
      </c>
      <c r="G32" s="2"/>
    </row>
    <row r="33" spans="1:9" x14ac:dyDescent="0.25">
      <c r="A33" s="1">
        <v>5.4</v>
      </c>
      <c r="B33" s="1" t="s">
        <v>38</v>
      </c>
      <c r="C33" s="1" t="s">
        <v>14</v>
      </c>
      <c r="D33" s="1">
        <v>1200</v>
      </c>
      <c r="E33" s="4">
        <v>65</v>
      </c>
      <c r="F33" s="5">
        <f>D33*E33</f>
        <v>78000</v>
      </c>
    </row>
    <row r="34" spans="1:9" ht="13.2" x14ac:dyDescent="0.25">
      <c r="A34" s="7"/>
      <c r="B34" s="8" t="s">
        <v>39</v>
      </c>
      <c r="C34" s="7"/>
      <c r="D34" s="7"/>
      <c r="E34" s="7"/>
      <c r="F34" s="9">
        <f>SUM(F30:F33)</f>
        <v>1383400</v>
      </c>
      <c r="G34" s="7"/>
    </row>
    <row r="35" spans="1:9" x14ac:dyDescent="0.25">
      <c r="B35" s="1"/>
      <c r="F35" s="2"/>
    </row>
    <row r="36" spans="1:9" x14ac:dyDescent="0.25">
      <c r="A36" s="1">
        <v>6</v>
      </c>
      <c r="B36" s="1" t="s">
        <v>40</v>
      </c>
      <c r="F36" s="1"/>
    </row>
    <row r="37" spans="1:9" x14ac:dyDescent="0.25">
      <c r="A37" s="1">
        <v>6.1</v>
      </c>
      <c r="B37" s="1" t="s">
        <v>41</v>
      </c>
      <c r="C37" s="1" t="s">
        <v>14</v>
      </c>
      <c r="D37" s="1">
        <v>1500</v>
      </c>
      <c r="E37" s="4">
        <v>220</v>
      </c>
      <c r="F37" s="5">
        <f t="shared" ref="F37:F39" si="4">D37*E37</f>
        <v>330000</v>
      </c>
    </row>
    <row r="38" spans="1:9" x14ac:dyDescent="0.25">
      <c r="A38" s="1">
        <v>6.2</v>
      </c>
      <c r="B38" s="1" t="s">
        <v>42</v>
      </c>
      <c r="C38" s="1" t="s">
        <v>14</v>
      </c>
      <c r="D38" s="1">
        <v>800</v>
      </c>
      <c r="E38" s="4">
        <v>195</v>
      </c>
      <c r="F38" s="5">
        <f t="shared" si="4"/>
        <v>156000</v>
      </c>
    </row>
    <row r="39" spans="1:9" x14ac:dyDescent="0.25">
      <c r="A39" s="1">
        <v>6.3</v>
      </c>
      <c r="B39" s="1" t="s">
        <v>43</v>
      </c>
      <c r="C39" s="1" t="s">
        <v>14</v>
      </c>
      <c r="D39" s="1">
        <v>1500</v>
      </c>
      <c r="E39" s="4">
        <v>55</v>
      </c>
      <c r="F39" s="5">
        <f t="shared" si="4"/>
        <v>82500</v>
      </c>
    </row>
    <row r="40" spans="1:9" x14ac:dyDescent="0.25">
      <c r="A40" s="1">
        <v>6.4</v>
      </c>
      <c r="B40" s="1" t="s">
        <v>64</v>
      </c>
      <c r="C40" s="1" t="s">
        <v>47</v>
      </c>
      <c r="D40" s="1">
        <v>1</v>
      </c>
      <c r="E40" s="4">
        <v>6500</v>
      </c>
      <c r="F40" s="4">
        <f>D40*E40</f>
        <v>6500</v>
      </c>
      <c r="G40" s="1"/>
      <c r="H40" s="1"/>
      <c r="I40" s="2"/>
    </row>
    <row r="41" spans="1:9" ht="13.2" x14ac:dyDescent="0.25">
      <c r="A41" s="7"/>
      <c r="B41" s="8" t="s">
        <v>44</v>
      </c>
      <c r="C41" s="7"/>
      <c r="D41" s="7"/>
      <c r="E41" s="7"/>
      <c r="F41" s="9">
        <f>SUM(F37:F40)</f>
        <v>575000</v>
      </c>
      <c r="G41" s="7"/>
    </row>
    <row r="42" spans="1:9" x14ac:dyDescent="0.25">
      <c r="B42" s="1"/>
      <c r="F42" s="2"/>
    </row>
    <row r="43" spans="1:9" x14ac:dyDescent="0.25">
      <c r="A43" s="1">
        <v>7</v>
      </c>
      <c r="B43" s="1" t="s">
        <v>45</v>
      </c>
      <c r="F43" s="1"/>
    </row>
    <row r="44" spans="1:9" x14ac:dyDescent="0.25">
      <c r="A44" s="1">
        <v>7.1</v>
      </c>
      <c r="B44" s="1" t="s">
        <v>46</v>
      </c>
      <c r="C44" s="1" t="s">
        <v>47</v>
      </c>
      <c r="D44" s="1">
        <v>250</v>
      </c>
      <c r="E44" s="4">
        <v>280</v>
      </c>
      <c r="F44" s="5">
        <f t="shared" ref="F44:F47" si="5">D44*E44</f>
        <v>70000</v>
      </c>
    </row>
    <row r="45" spans="1:9" x14ac:dyDescent="0.25">
      <c r="A45" s="1">
        <v>7.2</v>
      </c>
      <c r="B45" s="1" t="s">
        <v>48</v>
      </c>
      <c r="C45" s="1" t="s">
        <v>47</v>
      </c>
      <c r="D45" s="1">
        <v>250</v>
      </c>
      <c r="E45" s="4">
        <v>310</v>
      </c>
      <c r="F45" s="5">
        <f t="shared" si="5"/>
        <v>77500</v>
      </c>
    </row>
    <row r="46" spans="1:9" x14ac:dyDescent="0.25">
      <c r="A46" s="1">
        <v>7.3</v>
      </c>
      <c r="B46" s="1" t="s">
        <v>49</v>
      </c>
      <c r="C46" s="1" t="s">
        <v>50</v>
      </c>
      <c r="D46" s="1">
        <v>6</v>
      </c>
      <c r="E46" s="4">
        <v>7500</v>
      </c>
      <c r="F46" s="5">
        <f t="shared" si="5"/>
        <v>45000</v>
      </c>
    </row>
    <row r="47" spans="1:9" x14ac:dyDescent="0.25">
      <c r="A47" s="1">
        <v>7.4</v>
      </c>
      <c r="B47" s="1" t="s">
        <v>51</v>
      </c>
      <c r="C47" s="1" t="s">
        <v>14</v>
      </c>
      <c r="D47" s="1">
        <v>1200</v>
      </c>
      <c r="E47" s="4">
        <v>480</v>
      </c>
      <c r="F47" s="5">
        <f t="shared" si="5"/>
        <v>576000</v>
      </c>
    </row>
    <row r="48" spans="1:9" ht="13.2" x14ac:dyDescent="0.25">
      <c r="A48" s="7"/>
      <c r="B48" s="8" t="s">
        <v>52</v>
      </c>
      <c r="C48" s="7"/>
      <c r="D48" s="7"/>
      <c r="E48" s="7"/>
      <c r="F48" s="9">
        <f>SUM(F44:F47)</f>
        <v>768500</v>
      </c>
    </row>
    <row r="49" spans="1:7" x14ac:dyDescent="0.25">
      <c r="B49" s="1"/>
      <c r="F49" s="2"/>
    </row>
    <row r="50" spans="1:7" x14ac:dyDescent="0.25">
      <c r="B50" s="1" t="s">
        <v>53</v>
      </c>
      <c r="F50" s="1"/>
    </row>
    <row r="51" spans="1:7" x14ac:dyDescent="0.25">
      <c r="B51" s="1" t="s">
        <v>54</v>
      </c>
      <c r="E51" s="1">
        <v>1</v>
      </c>
      <c r="F51" s="5">
        <f>F7</f>
        <v>505000</v>
      </c>
    </row>
    <row r="52" spans="1:7" x14ac:dyDescent="0.25">
      <c r="B52" s="1" t="s">
        <v>55</v>
      </c>
      <c r="E52" s="1">
        <v>1</v>
      </c>
      <c r="F52" s="5">
        <f>F14</f>
        <v>418900</v>
      </c>
    </row>
    <row r="53" spans="1:7" x14ac:dyDescent="0.25">
      <c r="B53" s="1" t="s">
        <v>56</v>
      </c>
      <c r="C53" s="1"/>
      <c r="E53">
        <v>1</v>
      </c>
      <c r="F53" s="4">
        <f>F21</f>
        <v>2165750</v>
      </c>
      <c r="G53" s="2"/>
    </row>
    <row r="54" spans="1:7" x14ac:dyDescent="0.25">
      <c r="B54" s="1" t="s">
        <v>57</v>
      </c>
      <c r="E54" s="1">
        <v>1</v>
      </c>
      <c r="F54" s="5">
        <f>F27</f>
        <v>644400</v>
      </c>
    </row>
    <row r="55" spans="1:7" x14ac:dyDescent="0.25">
      <c r="B55" s="1" t="s">
        <v>58</v>
      </c>
      <c r="E55" s="1">
        <v>1</v>
      </c>
      <c r="F55" s="5">
        <f>F34</f>
        <v>1383400</v>
      </c>
    </row>
    <row r="56" spans="1:7" x14ac:dyDescent="0.25">
      <c r="B56" s="1" t="s">
        <v>59</v>
      </c>
      <c r="E56" s="1">
        <v>1</v>
      </c>
      <c r="F56" s="5">
        <f>F41</f>
        <v>575000</v>
      </c>
    </row>
    <row r="57" spans="1:7" x14ac:dyDescent="0.25">
      <c r="B57" s="1" t="s">
        <v>60</v>
      </c>
      <c r="E57" s="1">
        <v>1</v>
      </c>
      <c r="F57" s="5">
        <f>F48</f>
        <v>768500</v>
      </c>
    </row>
    <row r="58" spans="1:7" x14ac:dyDescent="0.25">
      <c r="B58" s="1"/>
      <c r="E58" s="1"/>
      <c r="F58" s="2"/>
    </row>
    <row r="59" spans="1:7" ht="13.2" x14ac:dyDescent="0.25">
      <c r="A59" s="7"/>
      <c r="B59" s="8" t="s">
        <v>61</v>
      </c>
      <c r="C59" s="7"/>
      <c r="D59" s="7"/>
      <c r="E59" s="8">
        <v>1</v>
      </c>
      <c r="F59" s="9">
        <f>SUM(F51:F57)</f>
        <v>6460950</v>
      </c>
    </row>
    <row r="60" spans="1:7" ht="13.2" x14ac:dyDescent="0.25">
      <c r="A60" s="7"/>
      <c r="B60" s="8" t="s">
        <v>62</v>
      </c>
      <c r="C60" s="7"/>
      <c r="D60" s="7"/>
      <c r="E60" s="8">
        <v>1</v>
      </c>
      <c r="F60" s="9">
        <f>F59*0.15</f>
        <v>969142.5</v>
      </c>
    </row>
    <row r="61" spans="1:7" ht="13.2" x14ac:dyDescent="0.25">
      <c r="A61" s="7"/>
      <c r="B61" s="8" t="s">
        <v>63</v>
      </c>
      <c r="C61" s="7"/>
      <c r="D61" s="7"/>
      <c r="E61" s="8">
        <v>1</v>
      </c>
      <c r="F61" s="9">
        <f>F60+F59</f>
        <v>7430092.5</v>
      </c>
    </row>
  </sheetData>
  <phoneticPr fontId="2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Siphuthando M Mkhize</cp:lastModifiedBy>
  <dcterms:modified xsi:type="dcterms:W3CDTF">2026-10-09T01:38:37Z</dcterms:modified>
</cp:coreProperties>
</file>